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 FISICO FINANCIERO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CURVA S" sheetId="3" state="visible" r:id="rId3"/>
    <sheet xmlns:r="http://schemas.openxmlformats.org/officeDocument/2006/relationships" name="FLUJO ESTIM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alibri"/>
      <color rgb="001F3864"/>
      <sz val="10"/>
    </font>
    <font>
      <name val="Calibri"/>
      <b val="1"/>
      <color rgb="00FFFFFF"/>
      <sz val="9"/>
    </font>
    <font>
      <name val="Calibri"/>
      <b val="1"/>
      <color rgb="001F3864"/>
      <sz val="10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8"/>
    </font>
    <font>
      <name val="Calibri"/>
      <sz val="8"/>
    </font>
    <font>
      <name val="Calibri"/>
      <b val="1"/>
      <color rgb="00FFFFFF"/>
      <sz val="10"/>
    </font>
    <font>
      <name val="Calibri"/>
      <i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- Avance Programado Acumulado (%)</a:t>
            </a:r>
          </a:p>
        </rich>
      </tx>
    </title>
    <plotArea>
      <lineChart>
        <grouping val="standard"/>
        <ser>
          <idx val="0"/>
          <order val="0"/>
          <tx>
            <strRef>
              <f>'CURVA S'!D4</f>
            </strRef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S'!$A$5:$A$27</f>
            </numRef>
          </cat>
          <val>
            <numRef>
              <f>'CURVA S'!$D$5:$D$27</f>
            </numRef>
          </val>
        </ser>
        <ser>
          <idx val="1"/>
          <order val="1"/>
          <tx>
            <strRef>
              <f>'CURVA S'!C4</f>
            </strRef>
          </tx>
          <spPr>
            <a:ln xmlns:a="http://schemas.openxmlformats.org/drawingml/2006/main" w="15000">
              <a:solidFill>
                <a:srgbClr val="70AD4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'CURVA S'!$C$5:$C$27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Avance Acumulado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Z4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9" customWidth="1" min="26" max="26"/>
  </cols>
  <sheetData>
    <row r="1">
      <c r="A1" s="1" t="inlineStr">
        <is>
          <t>PROGRAMA FÍSICO FINANCIERO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8" t="n"/>
    </row>
    <row r="2">
      <c r="A2" s="2" t="inlineStr">
        <is>
          <t>Habilitación del primer nivel del edificio "F" de la Unidad Lerma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8" t="n"/>
    </row>
    <row r="3">
      <c r="A3" s="3" t="inlineStr">
        <is>
          <t>Licitación: UAM.JA.RG.LP.03.2026  |  Plazo: 22 semanas  |  Inicio: 13/05/2026  |  Fin: 14/10/2026  |  Anticipo: 30%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8" t="n"/>
    </row>
    <row r="5">
      <c r="A5" s="4" t="inlineStr">
        <is>
          <t>No.</t>
        </is>
      </c>
      <c r="B5" s="4" t="inlineStr">
        <is>
          <t>Descripción de Partida</t>
        </is>
      </c>
      <c r="C5" s="4" t="inlineStr">
        <is>
          <t>% Estimado</t>
        </is>
      </c>
      <c r="D5" s="4" t="inlineStr">
        <is>
          <t>13/05
19/05</t>
        </is>
      </c>
      <c r="E5" s="4" t="inlineStr">
        <is>
          <t>20/05
26/05</t>
        </is>
      </c>
      <c r="F5" s="4" t="inlineStr">
        <is>
          <t>27/05
02/06</t>
        </is>
      </c>
      <c r="G5" s="4" t="inlineStr">
        <is>
          <t>03/06
09/06</t>
        </is>
      </c>
      <c r="H5" s="4" t="inlineStr">
        <is>
          <t>10/06
16/06</t>
        </is>
      </c>
      <c r="I5" s="4" t="inlineStr">
        <is>
          <t>17/06
23/06</t>
        </is>
      </c>
      <c r="J5" s="4" t="inlineStr">
        <is>
          <t>24/06
30/06</t>
        </is>
      </c>
      <c r="K5" s="4" t="inlineStr">
        <is>
          <t>01/07
07/07</t>
        </is>
      </c>
      <c r="L5" s="4" t="inlineStr">
        <is>
          <t>08/07
14/07</t>
        </is>
      </c>
      <c r="M5" s="4" t="inlineStr">
        <is>
          <t>15/07
21/07</t>
        </is>
      </c>
      <c r="N5" s="4" t="inlineStr">
        <is>
          <t>22/07
28/07</t>
        </is>
      </c>
      <c r="O5" s="4" t="inlineStr">
        <is>
          <t>29/07
04/08</t>
        </is>
      </c>
      <c r="P5" s="4" t="inlineStr">
        <is>
          <t>05/08
11/08</t>
        </is>
      </c>
      <c r="Q5" s="4" t="inlineStr">
        <is>
          <t>12/08
18/08</t>
        </is>
      </c>
      <c r="R5" s="4" t="inlineStr">
        <is>
          <t>19/08
25/08</t>
        </is>
      </c>
      <c r="S5" s="4" t="inlineStr">
        <is>
          <t>26/08
01/09</t>
        </is>
      </c>
      <c r="T5" s="4" t="inlineStr">
        <is>
          <t>02/09
08/09</t>
        </is>
      </c>
      <c r="U5" s="4" t="inlineStr">
        <is>
          <t>09/09
15/09</t>
        </is>
      </c>
      <c r="V5" s="4" t="inlineStr">
        <is>
          <t>16/09
22/09</t>
        </is>
      </c>
      <c r="W5" s="4" t="inlineStr">
        <is>
          <t>23/09
29/09</t>
        </is>
      </c>
      <c r="X5" s="4" t="inlineStr">
        <is>
          <t>30/09
06/10</t>
        </is>
      </c>
      <c r="Y5" s="4" t="inlineStr">
        <is>
          <t>07/10
13/10</t>
        </is>
      </c>
      <c r="Z5" s="4" t="inlineStr">
        <is>
          <t>Total %</t>
        </is>
      </c>
    </row>
    <row r="6">
      <c r="A6" s="5" t="inlineStr"/>
      <c r="B6" s="5" t="inlineStr"/>
      <c r="C6" s="5" t="inlineStr"/>
      <c r="D6" s="5" t="inlineStr">
        <is>
          <t>S1</t>
        </is>
      </c>
      <c r="E6" s="5" t="inlineStr">
        <is>
          <t>S2</t>
        </is>
      </c>
      <c r="F6" s="5" t="inlineStr">
        <is>
          <t>S3</t>
        </is>
      </c>
      <c r="G6" s="5" t="inlineStr">
        <is>
          <t>S4</t>
        </is>
      </c>
      <c r="H6" s="5" t="inlineStr">
        <is>
          <t>S5</t>
        </is>
      </c>
      <c r="I6" s="5" t="inlineStr">
        <is>
          <t>S6</t>
        </is>
      </c>
      <c r="J6" s="5" t="inlineStr">
        <is>
          <t>S7</t>
        </is>
      </c>
      <c r="K6" s="5" t="inlineStr">
        <is>
          <t>S8</t>
        </is>
      </c>
      <c r="L6" s="5" t="inlineStr">
        <is>
          <t>S9</t>
        </is>
      </c>
      <c r="M6" s="5" t="inlineStr">
        <is>
          <t>S10</t>
        </is>
      </c>
      <c r="N6" s="5" t="inlineStr">
        <is>
          <t>S11</t>
        </is>
      </c>
      <c r="O6" s="5" t="inlineStr">
        <is>
          <t>S12</t>
        </is>
      </c>
      <c r="P6" s="5" t="inlineStr">
        <is>
          <t>S13</t>
        </is>
      </c>
      <c r="Q6" s="5" t="inlineStr">
        <is>
          <t>S14</t>
        </is>
      </c>
      <c r="R6" s="5" t="inlineStr">
        <is>
          <t>S15</t>
        </is>
      </c>
      <c r="S6" s="5" t="inlineStr">
        <is>
          <t>S16</t>
        </is>
      </c>
      <c r="T6" s="5" t="inlineStr">
        <is>
          <t>S17</t>
        </is>
      </c>
      <c r="U6" s="5" t="inlineStr">
        <is>
          <t>S18</t>
        </is>
      </c>
      <c r="V6" s="5" t="inlineStr">
        <is>
          <t>S19</t>
        </is>
      </c>
      <c r="W6" s="5" t="inlineStr">
        <is>
          <t>S20</t>
        </is>
      </c>
      <c r="X6" s="5" t="inlineStr">
        <is>
          <t>S21</t>
        </is>
      </c>
      <c r="Y6" s="5" t="inlineStr">
        <is>
          <t>S22</t>
        </is>
      </c>
      <c r="Z6" s="5" t="inlineStr"/>
    </row>
    <row r="7">
      <c r="A7" s="6" t="inlineStr">
        <is>
          <t>ZONA AULAS</t>
        </is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8" t="n"/>
    </row>
    <row r="8">
      <c r="A8" s="8" t="n">
        <v>1</v>
      </c>
      <c r="B8" s="9" t="inlineStr">
        <is>
          <t>Preliminares</t>
        </is>
      </c>
      <c r="C8" s="10" t="n">
        <v>0.0083</v>
      </c>
      <c r="D8" s="11" t="n">
        <v>0.0083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0" t="n">
        <v>0.01</v>
      </c>
    </row>
    <row r="9">
      <c r="A9" s="13" t="n">
        <v>2</v>
      </c>
      <c r="B9" s="14" t="inlineStr">
        <is>
          <t>Albañilerías</t>
        </is>
      </c>
      <c r="C9" s="15" t="n">
        <v>0.125</v>
      </c>
      <c r="D9" s="16" t="n"/>
      <c r="E9" s="11" t="n">
        <v>0.011363</v>
      </c>
      <c r="F9" s="11" t="n">
        <v>0.011363</v>
      </c>
      <c r="G9" s="11" t="n">
        <v>0.011363</v>
      </c>
      <c r="H9" s="11" t="n">
        <v>0.011363</v>
      </c>
      <c r="I9" s="11" t="n">
        <v>0.011363</v>
      </c>
      <c r="J9" s="11" t="n">
        <v>0.011363</v>
      </c>
      <c r="K9" s="11" t="n">
        <v>0.011363</v>
      </c>
      <c r="L9" s="11" t="n">
        <v>0.011363</v>
      </c>
      <c r="M9" s="11" t="n">
        <v>0.011363</v>
      </c>
      <c r="N9" s="11" t="n">
        <v>0.011363</v>
      </c>
      <c r="O9" s="11" t="n">
        <v>0.011367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5" t="n">
        <v>0.15</v>
      </c>
    </row>
    <row r="10">
      <c r="A10" s="8" t="n">
        <v>3</v>
      </c>
      <c r="B10" s="9" t="inlineStr">
        <is>
          <t>Acabados</t>
        </is>
      </c>
      <c r="C10" s="10" t="n">
        <v>0.0667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1" t="n">
        <v>0.016675</v>
      </c>
      <c r="P10" s="11" t="n">
        <v>0.016675</v>
      </c>
      <c r="Q10" s="11" t="n">
        <v>0.016675</v>
      </c>
      <c r="R10" s="11" t="n">
        <v>0.016675</v>
      </c>
      <c r="S10" s="12" t="n"/>
      <c r="T10" s="12" t="n"/>
      <c r="U10" s="12" t="n"/>
      <c r="V10" s="12" t="n"/>
      <c r="W10" s="12" t="n"/>
      <c r="X10" s="12" t="n"/>
      <c r="Y10" s="12" t="n"/>
      <c r="Z10" s="10" t="n">
        <v>0.08</v>
      </c>
    </row>
    <row r="11">
      <c r="A11" s="13" t="n">
        <v>4</v>
      </c>
      <c r="B11" s="14" t="inlineStr">
        <is>
          <t>Limpiezas</t>
        </is>
      </c>
      <c r="C11" s="15" t="n">
        <v>0.0167</v>
      </c>
      <c r="D11" s="11" t="n">
        <v>0.000759</v>
      </c>
      <c r="E11" s="11" t="n">
        <v>0.000759</v>
      </c>
      <c r="F11" s="11" t="n">
        <v>0.000759</v>
      </c>
      <c r="G11" s="11" t="n">
        <v>0.000759</v>
      </c>
      <c r="H11" s="11" t="n">
        <v>0.000759</v>
      </c>
      <c r="I11" s="11" t="n">
        <v>0.000759</v>
      </c>
      <c r="J11" s="11" t="n">
        <v>0.000759</v>
      </c>
      <c r="K11" s="11" t="n">
        <v>0.000759</v>
      </c>
      <c r="L11" s="11" t="n">
        <v>0.000759</v>
      </c>
      <c r="M11" s="11" t="n">
        <v>0.000759</v>
      </c>
      <c r="N11" s="11" t="n">
        <v>0.000759</v>
      </c>
      <c r="O11" s="11" t="n">
        <v>0.000759</v>
      </c>
      <c r="P11" s="11" t="n">
        <v>0.000759</v>
      </c>
      <c r="Q11" s="11" t="n">
        <v>0.000759</v>
      </c>
      <c r="R11" s="11" t="n">
        <v>0.000759</v>
      </c>
      <c r="S11" s="11" t="n">
        <v>0.000759</v>
      </c>
      <c r="T11" s="11" t="n">
        <v>0.000759</v>
      </c>
      <c r="U11" s="11" t="n">
        <v>0.000759</v>
      </c>
      <c r="V11" s="11" t="n">
        <v>0.000759</v>
      </c>
      <c r="W11" s="11" t="n">
        <v>0.000759</v>
      </c>
      <c r="X11" s="11" t="n">
        <v>0.000759</v>
      </c>
      <c r="Y11" s="11" t="n">
        <v>0.000761</v>
      </c>
      <c r="Z11" s="15" t="n">
        <v>0.02</v>
      </c>
    </row>
    <row r="12">
      <c r="A12" s="8" t="n">
        <v>5</v>
      </c>
      <c r="B12" s="9" t="inlineStr">
        <is>
          <t>Núcleos Sanitarios</t>
        </is>
      </c>
      <c r="C12" s="10" t="n">
        <v>0.05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1" t="n">
        <v>0.016667</v>
      </c>
      <c r="S12" s="11" t="n">
        <v>0.016667</v>
      </c>
      <c r="T12" s="11" t="n">
        <v>0.016667</v>
      </c>
      <c r="U12" s="12" t="n"/>
      <c r="V12" s="12" t="n"/>
      <c r="W12" s="12" t="n"/>
      <c r="X12" s="12" t="n"/>
      <c r="Y12" s="12" t="n"/>
      <c r="Z12" s="10" t="n">
        <v>0.06</v>
      </c>
    </row>
    <row r="13">
      <c r="A13" s="13" t="n">
        <v>6</v>
      </c>
      <c r="B13" s="14" t="inlineStr">
        <is>
          <t>Inst. Hidrosanitaria</t>
        </is>
      </c>
      <c r="C13" s="15" t="n">
        <v>0.0333</v>
      </c>
      <c r="D13" s="16" t="n"/>
      <c r="E13" s="16" t="n"/>
      <c r="F13" s="16" t="n"/>
      <c r="G13" s="11" t="n">
        <v>0.00555</v>
      </c>
      <c r="H13" s="11" t="n">
        <v>0.00555</v>
      </c>
      <c r="I13" s="11" t="n">
        <v>0.00555</v>
      </c>
      <c r="J13" s="11" t="n">
        <v>0.00555</v>
      </c>
      <c r="K13" s="16" t="n"/>
      <c r="L13" s="16" t="n"/>
      <c r="M13" s="16" t="n"/>
      <c r="N13" s="16" t="n"/>
      <c r="O13" s="16" t="n"/>
      <c r="P13" s="16" t="n"/>
      <c r="Q13" s="16" t="n"/>
      <c r="R13" s="16" t="n"/>
      <c r="S13" s="11" t="n">
        <v>0.00555</v>
      </c>
      <c r="T13" s="11" t="n">
        <v>0.005549</v>
      </c>
      <c r="U13" s="16" t="n"/>
      <c r="V13" s="16" t="n"/>
      <c r="W13" s="16" t="n"/>
      <c r="X13" s="16" t="n"/>
      <c r="Y13" s="16" t="n"/>
      <c r="Z13" s="15" t="n">
        <v>0.04</v>
      </c>
    </row>
    <row r="14">
      <c r="A14" s="8" t="n">
        <v>7</v>
      </c>
      <c r="B14" s="9" t="inlineStr">
        <is>
          <t>Inst. Eléctrica</t>
        </is>
      </c>
      <c r="C14" s="10" t="n">
        <v>0.1</v>
      </c>
      <c r="D14" s="12" t="n"/>
      <c r="E14" s="12" t="n"/>
      <c r="F14" s="12" t="n"/>
      <c r="G14" s="11" t="n">
        <v>0.007692</v>
      </c>
      <c r="H14" s="11" t="n">
        <v>0.007692</v>
      </c>
      <c r="I14" s="11" t="n">
        <v>0.007692</v>
      </c>
      <c r="J14" s="11" t="n">
        <v>0.007692</v>
      </c>
      <c r="K14" s="11" t="n">
        <v>0.007692</v>
      </c>
      <c r="L14" s="11" t="n">
        <v>0.007692</v>
      </c>
      <c r="M14" s="11" t="n">
        <v>0.007692</v>
      </c>
      <c r="N14" s="11" t="n">
        <v>0.007692</v>
      </c>
      <c r="O14" s="11" t="n">
        <v>0.007692</v>
      </c>
      <c r="P14" s="11" t="n">
        <v>0.007692</v>
      </c>
      <c r="Q14" s="11" t="n">
        <v>0.007692</v>
      </c>
      <c r="R14" s="11" t="n">
        <v>0.007692</v>
      </c>
      <c r="S14" s="11" t="n">
        <v>0.00769</v>
      </c>
      <c r="T14" s="12" t="n"/>
      <c r="U14" s="12" t="n"/>
      <c r="V14" s="12" t="n"/>
      <c r="W14" s="12" t="n"/>
      <c r="X14" s="12" t="n"/>
      <c r="Y14" s="12" t="n"/>
      <c r="Z14" s="10" t="n">
        <v>0.12</v>
      </c>
    </row>
    <row r="15">
      <c r="A15" s="13" t="n">
        <v>8</v>
      </c>
      <c r="B15" s="14" t="inlineStr">
        <is>
          <t>Inst. Especiales</t>
        </is>
      </c>
      <c r="C15" s="15" t="n">
        <v>0.125</v>
      </c>
      <c r="D15" s="16" t="n"/>
      <c r="E15" s="16" t="n"/>
      <c r="F15" s="16" t="n"/>
      <c r="G15" s="16" t="n"/>
      <c r="H15" s="16" t="n"/>
      <c r="I15" s="11" t="n">
        <v>0.010417</v>
      </c>
      <c r="J15" s="11" t="n">
        <v>0.010417</v>
      </c>
      <c r="K15" s="11" t="n">
        <v>0.010417</v>
      </c>
      <c r="L15" s="11" t="n">
        <v>0.010417</v>
      </c>
      <c r="M15" s="11" t="n">
        <v>0.010417</v>
      </c>
      <c r="N15" s="11" t="n">
        <v>0.010417</v>
      </c>
      <c r="O15" s="11" t="n">
        <v>0.010417</v>
      </c>
      <c r="P15" s="11" t="n">
        <v>0.010417</v>
      </c>
      <c r="Q15" s="11" t="n">
        <v>0.010417</v>
      </c>
      <c r="R15" s="11" t="n">
        <v>0.010417</v>
      </c>
      <c r="S15" s="11" t="n">
        <v>0.010417</v>
      </c>
      <c r="T15" s="11" t="n">
        <v>0.010417</v>
      </c>
      <c r="U15" s="16" t="n"/>
      <c r="V15" s="16" t="n"/>
      <c r="W15" s="16" t="n"/>
      <c r="X15" s="16" t="n"/>
      <c r="Y15" s="16" t="n"/>
      <c r="Z15" s="15" t="n">
        <v>0.15</v>
      </c>
    </row>
    <row r="16">
      <c r="A16" s="8" t="n">
        <v>9</v>
      </c>
      <c r="B16" s="9" t="inlineStr">
        <is>
          <t>Aire Acondicionado</t>
        </is>
      </c>
      <c r="C16" s="10" t="n">
        <v>0.0417</v>
      </c>
      <c r="D16" s="12" t="n"/>
      <c r="E16" s="12" t="n"/>
      <c r="F16" s="12" t="n"/>
      <c r="G16" s="12" t="n"/>
      <c r="H16" s="11" t="n">
        <v>0.002978</v>
      </c>
      <c r="I16" s="11" t="n">
        <v>0.002978</v>
      </c>
      <c r="J16" s="11" t="n">
        <v>0.002978</v>
      </c>
      <c r="K16" s="11" t="n">
        <v>0.002978</v>
      </c>
      <c r="L16" s="11" t="n">
        <v>0.002978</v>
      </c>
      <c r="M16" s="11" t="n">
        <v>0.002978</v>
      </c>
      <c r="N16" s="11" t="n">
        <v>0.002978</v>
      </c>
      <c r="O16" s="11" t="n">
        <v>0.002978</v>
      </c>
      <c r="P16" s="11" t="n">
        <v>0.002978</v>
      </c>
      <c r="Q16" s="11" t="n">
        <v>0.002978</v>
      </c>
      <c r="R16" s="11" t="n">
        <v>0.002978</v>
      </c>
      <c r="S16" s="11" t="n">
        <v>0.002978</v>
      </c>
      <c r="T16" s="11" t="n">
        <v>0.002978</v>
      </c>
      <c r="U16" s="11" t="n">
        <v>0.002983</v>
      </c>
      <c r="V16" s="12" t="n"/>
      <c r="W16" s="12" t="n"/>
      <c r="X16" s="12" t="n"/>
      <c r="Y16" s="12" t="n"/>
      <c r="Z16" s="10" t="n">
        <v>0.05</v>
      </c>
    </row>
    <row r="17">
      <c r="A17" s="13" t="n">
        <v>10</v>
      </c>
      <c r="B17" s="14" t="inlineStr">
        <is>
          <t>Detección de Humos</t>
        </is>
      </c>
      <c r="C17" s="15" t="n">
        <v>0.0167</v>
      </c>
      <c r="D17" s="16" t="n"/>
      <c r="E17" s="16" t="n"/>
      <c r="F17" s="16" t="n"/>
      <c r="G17" s="16" t="n"/>
      <c r="H17" s="16" t="n"/>
      <c r="I17" s="11" t="n">
        <v>0.001284</v>
      </c>
      <c r="J17" s="11" t="n">
        <v>0.001284</v>
      </c>
      <c r="K17" s="11" t="n">
        <v>0.001284</v>
      </c>
      <c r="L17" s="11" t="n">
        <v>0.001284</v>
      </c>
      <c r="M17" s="11" t="n">
        <v>0.001284</v>
      </c>
      <c r="N17" s="11" t="n">
        <v>0.001284</v>
      </c>
      <c r="O17" s="11" t="n">
        <v>0.001284</v>
      </c>
      <c r="P17" s="11" t="n">
        <v>0.001284</v>
      </c>
      <c r="Q17" s="11" t="n">
        <v>0.001284</v>
      </c>
      <c r="R17" s="11" t="n">
        <v>0.001284</v>
      </c>
      <c r="S17" s="11" t="n">
        <v>0.001284</v>
      </c>
      <c r="T17" s="11" t="n">
        <v>0.001284</v>
      </c>
      <c r="U17" s="11" t="n">
        <v>0.001289</v>
      </c>
      <c r="V17" s="16" t="n"/>
      <c r="W17" s="16" t="n"/>
      <c r="X17" s="16" t="n"/>
      <c r="Y17" s="16" t="n"/>
      <c r="Z17" s="15" t="n">
        <v>0.02</v>
      </c>
    </row>
    <row r="18">
      <c r="A18" s="6" t="inlineStr">
        <is>
          <t>ZONA MEDIATECA/CUBÍCULOS</t>
        </is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8" t="n"/>
    </row>
    <row r="19">
      <c r="A19" s="8" t="n">
        <v>11</v>
      </c>
      <c r="B19" s="9" t="inlineStr">
        <is>
          <t>Trabajos Preliminares</t>
        </is>
      </c>
      <c r="C19" s="10" t="n">
        <v>0.0083</v>
      </c>
      <c r="D19" s="11" t="n">
        <v>0.00415</v>
      </c>
      <c r="E19" s="11" t="n">
        <v>0.00415</v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0" t="n">
        <v>0.01</v>
      </c>
    </row>
    <row r="20">
      <c r="A20" s="13" t="n">
        <v>12</v>
      </c>
      <c r="B20" s="14" t="inlineStr">
        <is>
          <t>Albañilerías</t>
        </is>
      </c>
      <c r="C20" s="15" t="n">
        <v>0.0667</v>
      </c>
      <c r="D20" s="16" t="n"/>
      <c r="E20" s="16" t="n"/>
      <c r="F20" s="11" t="n">
        <v>0.006064</v>
      </c>
      <c r="G20" s="11" t="n">
        <v>0.006064</v>
      </c>
      <c r="H20" s="11" t="n">
        <v>0.006064</v>
      </c>
      <c r="I20" s="11" t="n">
        <v>0.006064</v>
      </c>
      <c r="J20" s="11" t="n">
        <v>0.006064</v>
      </c>
      <c r="K20" s="11" t="n">
        <v>0.006064</v>
      </c>
      <c r="L20" s="11" t="n">
        <v>0.006064</v>
      </c>
      <c r="M20" s="11" t="n">
        <v>0.006064</v>
      </c>
      <c r="N20" s="11" t="n">
        <v>0.006064</v>
      </c>
      <c r="O20" s="11" t="n">
        <v>0.006064</v>
      </c>
      <c r="P20" s="11" t="n">
        <v>0.006061</v>
      </c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5" t="n">
        <v>0.08</v>
      </c>
    </row>
    <row r="21">
      <c r="A21" s="8" t="n">
        <v>13</v>
      </c>
      <c r="B21" s="9" t="inlineStr">
        <is>
          <t>Acabados</t>
        </is>
      </c>
      <c r="C21" s="10" t="n">
        <v>0.0417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1" t="n">
        <v>0.010425</v>
      </c>
      <c r="Q21" s="11" t="n">
        <v>0.010425</v>
      </c>
      <c r="R21" s="11" t="n">
        <v>0.010425</v>
      </c>
      <c r="S21" s="11" t="n">
        <v>0.010425</v>
      </c>
      <c r="T21" s="12" t="n"/>
      <c r="U21" s="12" t="n"/>
      <c r="V21" s="12" t="n"/>
      <c r="W21" s="12" t="n"/>
      <c r="X21" s="12" t="n"/>
      <c r="Y21" s="12" t="n"/>
      <c r="Z21" s="10" t="n">
        <v>0.05</v>
      </c>
    </row>
    <row r="22">
      <c r="A22" s="13" t="n">
        <v>14</v>
      </c>
      <c r="B22" s="14" t="inlineStr">
        <is>
          <t>Núcleos Sanitarios</t>
        </is>
      </c>
      <c r="C22" s="15" t="n">
        <v>0.025</v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1" t="n">
        <v>0.008333</v>
      </c>
      <c r="T22" s="11" t="n">
        <v>0.008333</v>
      </c>
      <c r="U22" s="11" t="n">
        <v>0.008333</v>
      </c>
      <c r="V22" s="16" t="n"/>
      <c r="W22" s="16" t="n"/>
      <c r="X22" s="16" t="n"/>
      <c r="Y22" s="16" t="n"/>
      <c r="Z22" s="15" t="n">
        <v>0.03</v>
      </c>
    </row>
    <row r="23">
      <c r="A23" s="8" t="n">
        <v>15</v>
      </c>
      <c r="B23" s="9" t="inlineStr">
        <is>
          <t>Herrerías/Carp./Cancel.</t>
        </is>
      </c>
      <c r="C23" s="10" t="n">
        <v>0.0333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1" t="n">
        <v>0.008325000000000001</v>
      </c>
      <c r="S23" s="11" t="n">
        <v>0.008325000000000001</v>
      </c>
      <c r="T23" s="11" t="n">
        <v>0.008325000000000001</v>
      </c>
      <c r="U23" s="11" t="n">
        <v>0.008325000000000001</v>
      </c>
      <c r="V23" s="12" t="n"/>
      <c r="W23" s="12" t="n"/>
      <c r="X23" s="12" t="n"/>
      <c r="Y23" s="12" t="n"/>
      <c r="Z23" s="10" t="n">
        <v>0.04</v>
      </c>
    </row>
    <row r="24">
      <c r="A24" s="13" t="n">
        <v>16</v>
      </c>
      <c r="B24" s="14" t="inlineStr">
        <is>
          <t>Inst. Hidrosanitaria</t>
        </is>
      </c>
      <c r="C24" s="15" t="n">
        <v>0.025</v>
      </c>
      <c r="D24" s="16" t="n"/>
      <c r="E24" s="16" t="n"/>
      <c r="F24" s="16" t="n"/>
      <c r="G24" s="16" t="n"/>
      <c r="H24" s="11" t="n">
        <v>0.001786</v>
      </c>
      <c r="I24" s="11" t="n">
        <v>0.001786</v>
      </c>
      <c r="J24" s="11" t="n">
        <v>0.001786</v>
      </c>
      <c r="K24" s="11" t="n">
        <v>0.001786</v>
      </c>
      <c r="L24" s="11" t="n">
        <v>0.001786</v>
      </c>
      <c r="M24" s="11" t="n">
        <v>0.001786</v>
      </c>
      <c r="N24" s="11" t="n">
        <v>0.001786</v>
      </c>
      <c r="O24" s="11" t="n">
        <v>0.001786</v>
      </c>
      <c r="P24" s="11" t="n">
        <v>0.001786</v>
      </c>
      <c r="Q24" s="11" t="n">
        <v>0.001786</v>
      </c>
      <c r="R24" s="11" t="n">
        <v>0.001786</v>
      </c>
      <c r="S24" s="11" t="n">
        <v>0.001786</v>
      </c>
      <c r="T24" s="11" t="n">
        <v>0.001786</v>
      </c>
      <c r="U24" s="11" t="n">
        <v>0.001784</v>
      </c>
      <c r="V24" s="16" t="n"/>
      <c r="W24" s="16" t="n"/>
      <c r="X24" s="16" t="n"/>
      <c r="Y24" s="16" t="n"/>
      <c r="Z24" s="15" t="n">
        <v>0.03</v>
      </c>
    </row>
    <row r="25">
      <c r="A25" s="8" t="n">
        <v>17</v>
      </c>
      <c r="B25" s="9" t="inlineStr">
        <is>
          <t>Inst. Eléctrica</t>
        </is>
      </c>
      <c r="C25" s="10" t="n">
        <v>0.0667</v>
      </c>
      <c r="D25" s="12" t="n"/>
      <c r="E25" s="12" t="n"/>
      <c r="F25" s="12" t="n"/>
      <c r="G25" s="12" t="n"/>
      <c r="H25" s="11" t="n">
        <v>0.005131</v>
      </c>
      <c r="I25" s="11" t="n">
        <v>0.005131</v>
      </c>
      <c r="J25" s="11" t="n">
        <v>0.005131</v>
      </c>
      <c r="K25" s="11" t="n">
        <v>0.005131</v>
      </c>
      <c r="L25" s="11" t="n">
        <v>0.005131</v>
      </c>
      <c r="M25" s="11" t="n">
        <v>0.005131</v>
      </c>
      <c r="N25" s="11" t="n">
        <v>0.005131</v>
      </c>
      <c r="O25" s="11" t="n">
        <v>0.005131</v>
      </c>
      <c r="P25" s="11" t="n">
        <v>0.005131</v>
      </c>
      <c r="Q25" s="11" t="n">
        <v>0.005131</v>
      </c>
      <c r="R25" s="11" t="n">
        <v>0.005131</v>
      </c>
      <c r="S25" s="11" t="n">
        <v>0.005131</v>
      </c>
      <c r="T25" s="11" t="n">
        <v>0.005129</v>
      </c>
      <c r="U25" s="12" t="n"/>
      <c r="V25" s="12" t="n"/>
      <c r="W25" s="12" t="n"/>
      <c r="X25" s="12" t="n"/>
      <c r="Y25" s="12" t="n"/>
      <c r="Z25" s="10" t="n">
        <v>0.08</v>
      </c>
    </row>
    <row r="26">
      <c r="A26" s="13" t="n">
        <v>18</v>
      </c>
      <c r="B26" s="14" t="inlineStr">
        <is>
          <t>Inst. Especiales</t>
        </is>
      </c>
      <c r="C26" s="15" t="n">
        <v>0.0417</v>
      </c>
      <c r="D26" s="16" t="n"/>
      <c r="E26" s="16" t="n"/>
      <c r="F26" s="16" t="n"/>
      <c r="G26" s="16" t="n"/>
      <c r="H26" s="16" t="n"/>
      <c r="I26" s="16" t="n"/>
      <c r="J26" s="11" t="n">
        <v>0.003475</v>
      </c>
      <c r="K26" s="11" t="n">
        <v>0.003475</v>
      </c>
      <c r="L26" s="11" t="n">
        <v>0.003475</v>
      </c>
      <c r="M26" s="11" t="n">
        <v>0.003475</v>
      </c>
      <c r="N26" s="11" t="n">
        <v>0.003475</v>
      </c>
      <c r="O26" s="11" t="n">
        <v>0.003475</v>
      </c>
      <c r="P26" s="11" t="n">
        <v>0.003475</v>
      </c>
      <c r="Q26" s="11" t="n">
        <v>0.003475</v>
      </c>
      <c r="R26" s="11" t="n">
        <v>0.003475</v>
      </c>
      <c r="S26" s="11" t="n">
        <v>0.003475</v>
      </c>
      <c r="T26" s="11" t="n">
        <v>0.003475</v>
      </c>
      <c r="U26" s="11" t="n">
        <v>0.003472</v>
      </c>
      <c r="V26" s="16" t="n"/>
      <c r="W26" s="16" t="n"/>
      <c r="X26" s="16" t="n"/>
      <c r="Y26" s="16" t="n"/>
      <c r="Z26" s="15" t="n">
        <v>0.05</v>
      </c>
    </row>
    <row r="27">
      <c r="A27" s="8" t="n">
        <v>19</v>
      </c>
      <c r="B27" s="9" t="inlineStr">
        <is>
          <t>Voz y Datos</t>
        </is>
      </c>
      <c r="C27" s="10" t="n">
        <v>0.0333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1" t="n">
        <v>0.00666</v>
      </c>
      <c r="M27" s="11" t="n">
        <v>0.00666</v>
      </c>
      <c r="N27" s="11" t="n">
        <v>0.00666</v>
      </c>
      <c r="O27" s="11" t="n">
        <v>0.00666</v>
      </c>
      <c r="P27" s="11" t="n">
        <v>0.00666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0" t="n">
        <v>0.04</v>
      </c>
    </row>
    <row r="28">
      <c r="A28" s="13" t="n">
        <v>20</v>
      </c>
      <c r="B28" s="14" t="inlineStr">
        <is>
          <t>Aire Acondicionado</t>
        </is>
      </c>
      <c r="C28" s="15" t="n">
        <v>0.05</v>
      </c>
      <c r="D28" s="16" t="n"/>
      <c r="E28" s="16" t="n"/>
      <c r="F28" s="16" t="n"/>
      <c r="G28" s="16" t="n"/>
      <c r="H28" s="16" t="n"/>
      <c r="I28" s="11" t="n">
        <v>0.003572</v>
      </c>
      <c r="J28" s="11" t="n">
        <v>0.003572</v>
      </c>
      <c r="K28" s="11" t="n">
        <v>0.003572</v>
      </c>
      <c r="L28" s="11" t="n">
        <v>0.003572</v>
      </c>
      <c r="M28" s="11" t="n">
        <v>0.003572</v>
      </c>
      <c r="N28" s="11" t="n">
        <v>0.003572</v>
      </c>
      <c r="O28" s="11" t="n">
        <v>0.003572</v>
      </c>
      <c r="P28" s="11" t="n">
        <v>0.003572</v>
      </c>
      <c r="Q28" s="11" t="n">
        <v>0.003572</v>
      </c>
      <c r="R28" s="11" t="n">
        <v>0.003572</v>
      </c>
      <c r="S28" s="11" t="n">
        <v>0.003572</v>
      </c>
      <c r="T28" s="11" t="n">
        <v>0.003572</v>
      </c>
      <c r="U28" s="11" t="n">
        <v>0.003572</v>
      </c>
      <c r="V28" s="11" t="n">
        <v>0.003568</v>
      </c>
      <c r="W28" s="16" t="n"/>
      <c r="X28" s="16" t="n"/>
      <c r="Y28" s="16" t="n"/>
      <c r="Z28" s="15" t="n">
        <v>0.06</v>
      </c>
    </row>
    <row r="29">
      <c r="A29" s="8" t="n">
        <v>21</v>
      </c>
      <c r="B29" s="9" t="inlineStr">
        <is>
          <t>Detección de Humos</t>
        </is>
      </c>
      <c r="C29" s="10" t="n">
        <v>0.0167</v>
      </c>
      <c r="D29" s="12" t="n"/>
      <c r="E29" s="12" t="n"/>
      <c r="F29" s="12" t="n"/>
      <c r="G29" s="12" t="n"/>
      <c r="H29" s="12" t="n"/>
      <c r="I29" s="12" t="n"/>
      <c r="J29" s="11" t="n">
        <v>0.001284</v>
      </c>
      <c r="K29" s="11" t="n">
        <v>0.001284</v>
      </c>
      <c r="L29" s="11" t="n">
        <v>0.001284</v>
      </c>
      <c r="M29" s="11" t="n">
        <v>0.001284</v>
      </c>
      <c r="N29" s="11" t="n">
        <v>0.001284</v>
      </c>
      <c r="O29" s="11" t="n">
        <v>0.001284</v>
      </c>
      <c r="P29" s="11" t="n">
        <v>0.001284</v>
      </c>
      <c r="Q29" s="11" t="n">
        <v>0.001284</v>
      </c>
      <c r="R29" s="11" t="n">
        <v>0.001284</v>
      </c>
      <c r="S29" s="11" t="n">
        <v>0.001284</v>
      </c>
      <c r="T29" s="11" t="n">
        <v>0.001284</v>
      </c>
      <c r="U29" s="11" t="n">
        <v>0.001284</v>
      </c>
      <c r="V29" s="11" t="n">
        <v>0.001289</v>
      </c>
      <c r="W29" s="12" t="n"/>
      <c r="X29" s="12" t="n"/>
      <c r="Y29" s="12" t="n"/>
      <c r="Z29" s="10" t="n">
        <v>0.02</v>
      </c>
    </row>
    <row r="30">
      <c r="A30" s="6" t="inlineStr">
        <is>
          <t>PRUEBAS Y PUESTA EN MARCHA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8" t="n"/>
    </row>
    <row r="31">
      <c r="A31" s="13" t="n">
        <v>22</v>
      </c>
      <c r="B31" s="14" t="inlineStr">
        <is>
          <t>Pruebas y Puesta en Marcha</t>
        </is>
      </c>
      <c r="C31" s="15" t="n">
        <v>0.0083</v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1" t="n">
        <v>0.002766</v>
      </c>
      <c r="W31" s="11" t="n">
        <v>0.002766</v>
      </c>
      <c r="X31" s="11" t="n">
        <v>0.002767</v>
      </c>
      <c r="Y31" s="16" t="n"/>
      <c r="Z31" s="15" t="n">
        <v>0.01</v>
      </c>
    </row>
    <row r="32"/>
    <row r="33">
      <c r="A33" s="17" t="inlineStr"/>
      <c r="B33" s="18" t="inlineStr">
        <is>
          <t>SUBTOTAL SEMANAL (%)</t>
        </is>
      </c>
      <c r="C33" s="19" t="n">
        <v>1.0001</v>
      </c>
      <c r="D33" s="20" t="n">
        <v>0.0132</v>
      </c>
      <c r="E33" s="20" t="n">
        <v>0.0163</v>
      </c>
      <c r="F33" s="20" t="n">
        <v>0.0182</v>
      </c>
      <c r="G33" s="20" t="n">
        <v>0.0314</v>
      </c>
      <c r="H33" s="20" t="n">
        <v>0.0413</v>
      </c>
      <c r="I33" s="20" t="n">
        <v>0.0566</v>
      </c>
      <c r="J33" s="20" t="n">
        <v>0.0614</v>
      </c>
      <c r="K33" s="20" t="n">
        <v>0.0558</v>
      </c>
      <c r="L33" s="20" t="n">
        <v>0.0625</v>
      </c>
      <c r="M33" s="20" t="n">
        <v>0.0625</v>
      </c>
      <c r="N33" s="20" t="n">
        <v>0.0625</v>
      </c>
      <c r="O33" s="20" t="n">
        <v>0.0791</v>
      </c>
      <c r="P33" s="20" t="n">
        <v>0.07820000000000001</v>
      </c>
      <c r="Q33" s="20" t="n">
        <v>0.0655</v>
      </c>
      <c r="R33" s="20" t="n">
        <v>0.0905</v>
      </c>
      <c r="S33" s="20" t="n">
        <v>0.0877</v>
      </c>
      <c r="T33" s="20" t="n">
        <v>0.0696</v>
      </c>
      <c r="U33" s="20" t="n">
        <v>0.0318</v>
      </c>
      <c r="V33" s="20" t="n">
        <v>0.008399999999999999</v>
      </c>
      <c r="W33" s="20" t="n">
        <v>0.0035</v>
      </c>
      <c r="X33" s="20" t="n">
        <v>0.0035</v>
      </c>
      <c r="Y33" s="20" t="n">
        <v>0.0008</v>
      </c>
      <c r="Z33" s="21" t="n">
        <v>1.2</v>
      </c>
    </row>
    <row r="34">
      <c r="A34" s="22" t="n"/>
      <c r="B34" s="23" t="inlineStr">
        <is>
          <t>ACUMULADO (%)</t>
        </is>
      </c>
      <c r="C34" s="24" t="inlineStr"/>
      <c r="D34" s="25" t="n">
        <v>0.0132</v>
      </c>
      <c r="E34" s="25" t="n">
        <v>0.0295</v>
      </c>
      <c r="F34" s="25" t="n">
        <v>0.0477</v>
      </c>
      <c r="G34" s="25" t="n">
        <v>0.0791</v>
      </c>
      <c r="H34" s="25" t="n">
        <v>0.1204</v>
      </c>
      <c r="I34" s="25" t="n">
        <v>0.177</v>
      </c>
      <c r="J34" s="25" t="n">
        <v>0.2384</v>
      </c>
      <c r="K34" s="25" t="n">
        <v>0.2942</v>
      </c>
      <c r="L34" s="25" t="n">
        <v>0.3567</v>
      </c>
      <c r="M34" s="25" t="n">
        <v>0.4192</v>
      </c>
      <c r="N34" s="25" t="n">
        <v>0.4817</v>
      </c>
      <c r="O34" s="25" t="n">
        <v>0.5608</v>
      </c>
      <c r="P34" s="25" t="n">
        <v>0.639</v>
      </c>
      <c r="Q34" s="25" t="n">
        <v>0.7045</v>
      </c>
      <c r="R34" s="25" t="n">
        <v>0.795</v>
      </c>
      <c r="S34" s="25" t="n">
        <v>0.8827</v>
      </c>
      <c r="T34" s="25" t="n">
        <v>0.9523</v>
      </c>
      <c r="U34" s="25" t="n">
        <v>0.9841</v>
      </c>
      <c r="V34" s="25" t="n">
        <v>0.9925</v>
      </c>
      <c r="W34" s="25" t="n">
        <v>0.996</v>
      </c>
      <c r="X34" s="25" t="n">
        <v>0.9995000000000001</v>
      </c>
      <c r="Y34" s="25" t="n">
        <v>1.0003</v>
      </c>
      <c r="Z34" s="26" t="n">
        <v>1.2</v>
      </c>
    </row>
    <row r="35"/>
    <row r="36"/>
    <row r="37"/>
    <row r="38"/>
    <row r="39"/>
    <row r="40"/>
  </sheetData>
  <mergeCells count="6">
    <mergeCell ref="A1:Z1"/>
    <mergeCell ref="A18:Z18"/>
    <mergeCell ref="A3:Z3"/>
    <mergeCell ref="A30:Z30"/>
    <mergeCell ref="A2:Z2"/>
    <mergeCell ref="A7:Z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3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7" t="inlineStr">
        <is>
          <t>RESUMEN MENSUAL - PROGRAMA FÍSICO FINANCIERO</t>
        </is>
      </c>
      <c r="B1" s="37" t="n"/>
      <c r="C1" s="37" t="n"/>
      <c r="D1" s="37" t="n"/>
      <c r="E1" s="37" t="n"/>
      <c r="F1" s="37" t="n"/>
      <c r="G1" s="37" t="n"/>
      <c r="H1" s="37" t="n"/>
      <c r="I1" s="38" t="n"/>
    </row>
    <row r="2">
      <c r="A2" s="28" t="inlineStr">
        <is>
          <t>Habilitación del primer nivel del edificio "F" de la Unidad Lerma</t>
        </is>
      </c>
      <c r="B2" s="37" t="n"/>
      <c r="C2" s="37" t="n"/>
      <c r="D2" s="37" t="n"/>
      <c r="E2" s="37" t="n"/>
      <c r="F2" s="37" t="n"/>
      <c r="G2" s="37" t="n"/>
      <c r="H2" s="37" t="n"/>
      <c r="I2" s="38" t="n"/>
    </row>
    <row r="4">
      <c r="A4" s="29" t="inlineStr">
        <is>
          <t>No.</t>
        </is>
      </c>
      <c r="B4" s="29" t="inlineStr">
        <is>
          <t>Descripción de Partida</t>
        </is>
      </c>
      <c r="C4" s="29" t="inlineStr">
        <is>
          <t>% Total</t>
        </is>
      </c>
      <c r="D4" s="29" t="inlineStr">
        <is>
          <t>Mayo 2026</t>
        </is>
      </c>
      <c r="E4" s="29" t="inlineStr">
        <is>
          <t>Junio 2026</t>
        </is>
      </c>
      <c r="F4" s="29" t="inlineStr">
        <is>
          <t>Julio 2026</t>
        </is>
      </c>
      <c r="G4" s="29" t="inlineStr">
        <is>
          <t>Agosto 2026</t>
        </is>
      </c>
      <c r="H4" s="29" t="inlineStr">
        <is>
          <t>Septiembre 2026</t>
        </is>
      </c>
      <c r="I4" s="29" t="inlineStr">
        <is>
          <t>Octubre 2026</t>
        </is>
      </c>
    </row>
    <row r="5">
      <c r="A5" s="6" t="inlineStr">
        <is>
          <t>ZONA AULAS</t>
        </is>
      </c>
      <c r="B5" s="37" t="n"/>
      <c r="C5" s="37" t="n"/>
      <c r="D5" s="37" t="n"/>
      <c r="E5" s="37" t="n"/>
      <c r="F5" s="37" t="n"/>
      <c r="G5" s="37" t="n"/>
      <c r="H5" s="37" t="n"/>
      <c r="I5" s="38" t="n"/>
    </row>
    <row r="6">
      <c r="A6" s="8" t="n">
        <v>1</v>
      </c>
      <c r="B6" s="9" t="inlineStr">
        <is>
          <t>Preliminares</t>
        </is>
      </c>
      <c r="C6" s="10" t="n">
        <v>0.01</v>
      </c>
      <c r="D6" s="30" t="n">
        <v>0.01</v>
      </c>
      <c r="E6" s="8" t="n"/>
      <c r="F6" s="8" t="n"/>
      <c r="G6" s="8" t="n"/>
      <c r="H6" s="8" t="n"/>
      <c r="I6" s="8" t="n"/>
    </row>
    <row r="7">
      <c r="A7" s="13" t="n">
        <v>2</v>
      </c>
      <c r="B7" s="14" t="inlineStr">
        <is>
          <t>Albañilerías</t>
        </is>
      </c>
      <c r="C7" s="15" t="n">
        <v>0.15</v>
      </c>
      <c r="D7" s="30" t="n">
        <v>0.027272</v>
      </c>
      <c r="E7" s="30" t="n">
        <v>0.054544</v>
      </c>
      <c r="F7" s="30" t="n">
        <v>0.06818399999999999</v>
      </c>
      <c r="G7" s="13" t="n"/>
      <c r="H7" s="13" t="n"/>
      <c r="I7" s="13" t="n"/>
    </row>
    <row r="8">
      <c r="A8" s="8" t="n">
        <v>3</v>
      </c>
      <c r="B8" s="9" t="inlineStr">
        <is>
          <t>Acabados</t>
        </is>
      </c>
      <c r="C8" s="10" t="n">
        <v>0.08</v>
      </c>
      <c r="D8" s="8" t="n"/>
      <c r="E8" s="8" t="n"/>
      <c r="F8" s="30" t="n">
        <v>0.02</v>
      </c>
      <c r="G8" s="30" t="n">
        <v>0.06</v>
      </c>
      <c r="H8" s="8" t="n"/>
      <c r="I8" s="8" t="n"/>
    </row>
    <row r="9">
      <c r="A9" s="13" t="n">
        <v>4</v>
      </c>
      <c r="B9" s="14" t="inlineStr">
        <is>
          <t>Limpiezas</t>
        </is>
      </c>
      <c r="C9" s="15" t="n">
        <v>0.02</v>
      </c>
      <c r="D9" s="30" t="n">
        <v>0.002727</v>
      </c>
      <c r="E9" s="30" t="n">
        <v>0.003636</v>
      </c>
      <c r="F9" s="30" t="n">
        <v>0.004545</v>
      </c>
      <c r="G9" s="30" t="n">
        <v>0.004545</v>
      </c>
      <c r="H9" s="30" t="n">
        <v>0.002727</v>
      </c>
      <c r="I9" s="30" t="n">
        <v>0.00182</v>
      </c>
    </row>
    <row r="10">
      <c r="A10" s="8" t="n">
        <v>5</v>
      </c>
      <c r="B10" s="9" t="inlineStr">
        <is>
          <t>Núcleos Sanitarios</t>
        </is>
      </c>
      <c r="C10" s="10" t="n">
        <v>0.06</v>
      </c>
      <c r="D10" s="8" t="n"/>
      <c r="E10" s="8" t="n"/>
      <c r="F10" s="8" t="n"/>
      <c r="G10" s="30" t="n">
        <v>0.06</v>
      </c>
      <c r="H10" s="8" t="n"/>
      <c r="I10" s="8" t="n"/>
    </row>
    <row r="11">
      <c r="A11" s="13" t="n">
        <v>6</v>
      </c>
      <c r="B11" s="14" t="inlineStr">
        <is>
          <t>Inst. Hidrosanitaria</t>
        </is>
      </c>
      <c r="C11" s="15" t="n">
        <v>0.04</v>
      </c>
      <c r="D11" s="13" t="n"/>
      <c r="E11" s="30" t="n">
        <v>0.026668</v>
      </c>
      <c r="F11" s="13" t="n"/>
      <c r="G11" s="30" t="n">
        <v>0.013332</v>
      </c>
      <c r="H11" s="13" t="n"/>
      <c r="I11" s="13" t="n"/>
    </row>
    <row r="12">
      <c r="A12" s="8" t="n">
        <v>7</v>
      </c>
      <c r="B12" s="9" t="inlineStr">
        <is>
          <t>Inst. Eléctrica</t>
        </is>
      </c>
      <c r="C12" s="10" t="n">
        <v>0.12</v>
      </c>
      <c r="D12" s="8" t="n"/>
      <c r="E12" s="30" t="n">
        <v>0.036924</v>
      </c>
      <c r="F12" s="30" t="n">
        <v>0.046155</v>
      </c>
      <c r="G12" s="30" t="n">
        <v>0.036921</v>
      </c>
      <c r="H12" s="8" t="n"/>
      <c r="I12" s="8" t="n"/>
    </row>
    <row r="13">
      <c r="A13" s="13" t="n">
        <v>8</v>
      </c>
      <c r="B13" s="14" t="inlineStr">
        <is>
          <t>Inst. Especiales</t>
        </is>
      </c>
      <c r="C13" s="15" t="n">
        <v>0.15</v>
      </c>
      <c r="D13" s="13" t="n"/>
      <c r="E13" s="30" t="n">
        <v>0.025</v>
      </c>
      <c r="F13" s="30" t="n">
        <v>0.0625</v>
      </c>
      <c r="G13" s="30" t="n">
        <v>0.0625</v>
      </c>
      <c r="H13" s="13" t="n"/>
      <c r="I13" s="13" t="n"/>
    </row>
    <row r="14">
      <c r="A14" s="8" t="n">
        <v>9</v>
      </c>
      <c r="B14" s="9" t="inlineStr">
        <is>
          <t>Aire Acondicionado</t>
        </is>
      </c>
      <c r="C14" s="10" t="n">
        <v>0.05</v>
      </c>
      <c r="D14" s="8" t="n"/>
      <c r="E14" s="30" t="n">
        <v>0.010713</v>
      </c>
      <c r="F14" s="30" t="n">
        <v>0.017855</v>
      </c>
      <c r="G14" s="30" t="n">
        <v>0.017855</v>
      </c>
      <c r="H14" s="30" t="n">
        <v>0.003577</v>
      </c>
      <c r="I14" s="8" t="n"/>
    </row>
    <row r="15">
      <c r="A15" s="13" t="n">
        <v>10</v>
      </c>
      <c r="B15" s="14" t="inlineStr">
        <is>
          <t>Detección de Humos</t>
        </is>
      </c>
      <c r="C15" s="15" t="n">
        <v>0.02</v>
      </c>
      <c r="D15" s="13" t="n"/>
      <c r="E15" s="30" t="n">
        <v>0.003076</v>
      </c>
      <c r="F15" s="30" t="n">
        <v>0.007689999999999999</v>
      </c>
      <c r="G15" s="30" t="n">
        <v>0.007689999999999999</v>
      </c>
      <c r="H15" s="30" t="n">
        <v>0.001544</v>
      </c>
      <c r="I15" s="13" t="n"/>
    </row>
    <row r="16">
      <c r="A16" s="6" t="inlineStr">
        <is>
          <t>ZONA MEDIATECA/CUBÍCULOS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>
      <c r="A17" s="8" t="n">
        <v>11</v>
      </c>
      <c r="B17" s="9" t="inlineStr">
        <is>
          <t>Trabajos Preliminares</t>
        </is>
      </c>
      <c r="C17" s="10" t="n">
        <v>0.01</v>
      </c>
      <c r="D17" s="30" t="n">
        <v>0.01</v>
      </c>
      <c r="E17" s="8" t="n"/>
      <c r="F17" s="8" t="n"/>
      <c r="G17" s="8" t="n"/>
      <c r="H17" s="8" t="n"/>
      <c r="I17" s="8" t="n"/>
    </row>
    <row r="18">
      <c r="A18" s="13" t="n">
        <v>12</v>
      </c>
      <c r="B18" s="14" t="inlineStr">
        <is>
          <t>Albañilerías</t>
        </is>
      </c>
      <c r="C18" s="15" t="n">
        <v>0.08</v>
      </c>
      <c r="D18" s="30" t="n">
        <v>0.007272999999999999</v>
      </c>
      <c r="E18" s="30" t="n">
        <v>0.029092</v>
      </c>
      <c r="F18" s="30" t="n">
        <v>0.036365</v>
      </c>
      <c r="G18" s="30" t="n">
        <v>0.00727</v>
      </c>
      <c r="H18" s="13" t="n"/>
      <c r="I18" s="13" t="n"/>
    </row>
    <row r="19">
      <c r="A19" s="8" t="n">
        <v>13</v>
      </c>
      <c r="B19" s="9" t="inlineStr">
        <is>
          <t>Acabados</t>
        </is>
      </c>
      <c r="C19" s="10" t="n">
        <v>0.05</v>
      </c>
      <c r="D19" s="8" t="n"/>
      <c r="E19" s="8" t="n"/>
      <c r="F19" s="8" t="n"/>
      <c r="G19" s="30" t="n">
        <v>0.05</v>
      </c>
      <c r="H19" s="8" t="n"/>
      <c r="I19" s="8" t="n"/>
    </row>
    <row r="20">
      <c r="A20" s="13" t="n">
        <v>14</v>
      </c>
      <c r="B20" s="14" t="inlineStr">
        <is>
          <t>Núcleos Sanitarios</t>
        </is>
      </c>
      <c r="C20" s="15" t="n">
        <v>0.03</v>
      </c>
      <c r="D20" s="13" t="n"/>
      <c r="E20" s="13" t="n"/>
      <c r="F20" s="13" t="n"/>
      <c r="G20" s="30" t="n">
        <v>0.02</v>
      </c>
      <c r="H20" s="30" t="n">
        <v>0.01</v>
      </c>
      <c r="I20" s="13" t="n"/>
    </row>
    <row r="21">
      <c r="A21" s="8" t="n">
        <v>15</v>
      </c>
      <c r="B21" s="9" t="inlineStr">
        <is>
          <t>Herrerías/Carp./Cancel.</t>
        </is>
      </c>
      <c r="C21" s="10" t="n">
        <v>0.04</v>
      </c>
      <c r="D21" s="8" t="n"/>
      <c r="E21" s="8" t="n"/>
      <c r="F21" s="8" t="n"/>
      <c r="G21" s="30" t="n">
        <v>0.03</v>
      </c>
      <c r="H21" s="30" t="n">
        <v>0.01</v>
      </c>
      <c r="I21" s="8" t="n"/>
    </row>
    <row r="22">
      <c r="A22" s="13" t="n">
        <v>16</v>
      </c>
      <c r="B22" s="14" t="inlineStr">
        <is>
          <t>Inst. Hidrosanitaria</t>
        </is>
      </c>
      <c r="C22" s="15" t="n">
        <v>0.03</v>
      </c>
      <c r="D22" s="13" t="n"/>
      <c r="E22" s="30" t="n">
        <v>0.006429000000000001</v>
      </c>
      <c r="F22" s="30" t="n">
        <v>0.010715</v>
      </c>
      <c r="G22" s="30" t="n">
        <v>0.010715</v>
      </c>
      <c r="H22" s="30" t="n">
        <v>0.002141</v>
      </c>
      <c r="I22" s="13" t="n"/>
    </row>
    <row r="23">
      <c r="A23" s="8" t="n">
        <v>17</v>
      </c>
      <c r="B23" s="9" t="inlineStr">
        <is>
          <t>Inst. Eléctrica</t>
        </is>
      </c>
      <c r="C23" s="10" t="n">
        <v>0.08</v>
      </c>
      <c r="D23" s="8" t="n"/>
      <c r="E23" s="30" t="n">
        <v>0.018462</v>
      </c>
      <c r="F23" s="30" t="n">
        <v>0.03077</v>
      </c>
      <c r="G23" s="30" t="n">
        <v>0.030768</v>
      </c>
      <c r="H23" s="8" t="n"/>
      <c r="I23" s="8" t="n"/>
    </row>
    <row r="24">
      <c r="A24" s="13" t="n">
        <v>18</v>
      </c>
      <c r="B24" s="14" t="inlineStr">
        <is>
          <t>Inst. Especiales</t>
        </is>
      </c>
      <c r="C24" s="15" t="n">
        <v>0.05</v>
      </c>
      <c r="D24" s="13" t="n"/>
      <c r="E24" s="30" t="n">
        <v>0.004167000000000001</v>
      </c>
      <c r="F24" s="30" t="n">
        <v>0.020835</v>
      </c>
      <c r="G24" s="30" t="n">
        <v>0.020835</v>
      </c>
      <c r="H24" s="30" t="n">
        <v>0.004163</v>
      </c>
      <c r="I24" s="13" t="n"/>
    </row>
    <row r="25">
      <c r="A25" s="8" t="n">
        <v>19</v>
      </c>
      <c r="B25" s="9" t="inlineStr">
        <is>
          <t>Voz y Datos</t>
        </is>
      </c>
      <c r="C25" s="10" t="n">
        <v>0.04</v>
      </c>
      <c r="D25" s="8" t="n"/>
      <c r="E25" s="8" t="n"/>
      <c r="F25" s="30" t="n">
        <v>0.032</v>
      </c>
      <c r="G25" s="30" t="n">
        <v>0.008</v>
      </c>
      <c r="H25" s="8" t="n"/>
      <c r="I25" s="8" t="n"/>
    </row>
    <row r="26">
      <c r="A26" s="13" t="n">
        <v>20</v>
      </c>
      <c r="B26" s="14" t="inlineStr">
        <is>
          <t>Aire Acondicionado</t>
        </is>
      </c>
      <c r="C26" s="15" t="n">
        <v>0.06</v>
      </c>
      <c r="D26" s="13" t="n"/>
      <c r="E26" s="30" t="n">
        <v>0.008572</v>
      </c>
      <c r="F26" s="30" t="n">
        <v>0.02143</v>
      </c>
      <c r="G26" s="30" t="n">
        <v>0.02143</v>
      </c>
      <c r="H26" s="30" t="n">
        <v>0.008567999999999999</v>
      </c>
      <c r="I26" s="13" t="n"/>
    </row>
    <row r="27">
      <c r="A27" s="8" t="n">
        <v>21</v>
      </c>
      <c r="B27" s="9" t="inlineStr">
        <is>
          <t>Detección de Humos</t>
        </is>
      </c>
      <c r="C27" s="10" t="n">
        <v>0.02</v>
      </c>
      <c r="D27" s="8" t="n"/>
      <c r="E27" s="30" t="n">
        <v>0.001538</v>
      </c>
      <c r="F27" s="30" t="n">
        <v>0.007689999999999999</v>
      </c>
      <c r="G27" s="30" t="n">
        <v>0.007689999999999999</v>
      </c>
      <c r="H27" s="30" t="n">
        <v>0.003082</v>
      </c>
      <c r="I27" s="8" t="n"/>
    </row>
    <row r="28">
      <c r="A28" s="6" t="inlineStr">
        <is>
          <t>PRUEBAS Y PUESTA EN MARCHA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>
      <c r="A29" s="13" t="n">
        <v>22</v>
      </c>
      <c r="B29" s="14" t="inlineStr">
        <is>
          <t>Pruebas y Puesta en Marcha</t>
        </is>
      </c>
      <c r="C29" s="15" t="n">
        <v>0.01</v>
      </c>
      <c r="D29" s="13" t="n"/>
      <c r="E29" s="13" t="n"/>
      <c r="F29" s="13" t="n"/>
      <c r="G29" s="13" t="n"/>
      <c r="H29" s="30" t="n">
        <v>0.006666</v>
      </c>
      <c r="I29" s="30" t="n">
        <v>0.003334</v>
      </c>
    </row>
    <row r="31">
      <c r="A31" s="17" t="n"/>
      <c r="B31" s="18" t="inlineStr">
        <is>
          <t>SUBTOTAL MENSUAL</t>
        </is>
      </c>
      <c r="C31" s="21" t="n">
        <v>1.2</v>
      </c>
      <c r="D31" s="21" t="n">
        <v>0.057272</v>
      </c>
      <c r="E31" s="21" t="n">
        <v>0.228821</v>
      </c>
      <c r="F31" s="21" t="n">
        <v>0.386734</v>
      </c>
      <c r="G31" s="21" t="n">
        <v>0.469551</v>
      </c>
      <c r="H31" s="21" t="n">
        <v>0.05246799999999999</v>
      </c>
      <c r="I31" s="21" t="n">
        <v>0.005154</v>
      </c>
    </row>
    <row r="32">
      <c r="A32" s="22" t="n"/>
      <c r="B32" s="23" t="inlineStr">
        <is>
          <t>ACUMULADO MENSUAL</t>
        </is>
      </c>
      <c r="C32" s="22" t="n"/>
      <c r="D32" s="26" t="n">
        <v>0.057272</v>
      </c>
      <c r="E32" s="26" t="n">
        <v>0.286093</v>
      </c>
      <c r="F32" s="26" t="n">
        <v>0.6728270000000001</v>
      </c>
      <c r="G32" s="26" t="n">
        <v>1.142378</v>
      </c>
      <c r="H32" s="26" t="n">
        <v>1.194846</v>
      </c>
      <c r="I32" s="26" t="n">
        <v>1.2</v>
      </c>
    </row>
  </sheetData>
  <mergeCells count="5">
    <mergeCell ref="A2:I2"/>
    <mergeCell ref="A28:I28"/>
    <mergeCell ref="A5:I5"/>
    <mergeCell ref="A1:I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</cols>
  <sheetData>
    <row r="1">
      <c r="A1" s="27" t="inlineStr">
        <is>
          <t>CURVA S - AVANCE PROGRAMADO</t>
        </is>
      </c>
      <c r="B1" s="37" t="n"/>
      <c r="C1" s="37" t="n"/>
      <c r="D1" s="37" t="n"/>
      <c r="E1" s="38" t="n"/>
    </row>
    <row r="2">
      <c r="A2" s="28" t="inlineStr">
        <is>
          <t>Habilitación del primer nivel del edificio "F" de la Unidad Lerma</t>
        </is>
      </c>
      <c r="B2" s="37" t="n"/>
      <c r="C2" s="37" t="n"/>
      <c r="D2" s="37" t="n"/>
      <c r="E2" s="38" t="n"/>
    </row>
    <row r="4">
      <c r="A4" s="29" t="inlineStr">
        <is>
          <t>Semana</t>
        </is>
      </c>
      <c r="B4" s="29" t="inlineStr">
        <is>
          <t>Fecha Inicio</t>
        </is>
      </c>
      <c r="C4" s="29" t="inlineStr">
        <is>
          <t>Avance Semanal %</t>
        </is>
      </c>
      <c r="D4" s="29" t="inlineStr">
        <is>
          <t>Acumulado %</t>
        </is>
      </c>
    </row>
    <row r="5">
      <c r="A5" s="8" t="inlineStr">
        <is>
          <t>Inicio</t>
        </is>
      </c>
      <c r="B5" s="8" t="inlineStr">
        <is>
          <t>13/05/2026</t>
        </is>
      </c>
      <c r="C5" s="31" t="n">
        <v>0</v>
      </c>
      <c r="D5" s="31" t="n">
        <v>0</v>
      </c>
    </row>
    <row r="6">
      <c r="A6" s="8" t="inlineStr">
        <is>
          <t>S1</t>
        </is>
      </c>
      <c r="B6" s="8" t="inlineStr">
        <is>
          <t>13/05/2026</t>
        </is>
      </c>
      <c r="C6" s="10" t="n">
        <v>0.015909</v>
      </c>
      <c r="D6" s="30" t="n">
        <v>0.015909</v>
      </c>
    </row>
    <row r="7">
      <c r="A7" s="13" t="inlineStr">
        <is>
          <t>S2</t>
        </is>
      </c>
      <c r="B7" s="13" t="inlineStr">
        <is>
          <t>20/05/2026</t>
        </is>
      </c>
      <c r="C7" s="15" t="n">
        <v>0.019545</v>
      </c>
      <c r="D7" s="30" t="n">
        <v>0.035454</v>
      </c>
    </row>
    <row r="8">
      <c r="A8" s="8" t="inlineStr">
        <is>
          <t>S3</t>
        </is>
      </c>
      <c r="B8" s="8" t="inlineStr">
        <is>
          <t>27/05/2026</t>
        </is>
      </c>
      <c r="C8" s="10" t="n">
        <v>0.021818</v>
      </c>
      <c r="D8" s="30" t="n">
        <v>0.057272</v>
      </c>
    </row>
    <row r="9">
      <c r="A9" s="13" t="inlineStr">
        <is>
          <t>S4</t>
        </is>
      </c>
      <c r="B9" s="13" t="inlineStr">
        <is>
          <t>03/06/2026</t>
        </is>
      </c>
      <c r="C9" s="15" t="n">
        <v>0.037716</v>
      </c>
      <c r="D9" s="30" t="n">
        <v>0.09498799999999999</v>
      </c>
    </row>
    <row r="10">
      <c r="A10" s="8" t="inlineStr">
        <is>
          <t>S5</t>
        </is>
      </c>
      <c r="B10" s="8" t="inlineStr">
        <is>
          <t>10/06/2026</t>
        </is>
      </c>
      <c r="C10" s="10" t="n">
        <v>0.04958399999999999</v>
      </c>
      <c r="D10" s="30" t="n">
        <v>0.144572</v>
      </c>
    </row>
    <row r="11">
      <c r="A11" s="13" t="inlineStr">
        <is>
          <t>S6</t>
        </is>
      </c>
      <c r="B11" s="13" t="inlineStr">
        <is>
          <t>17/06/2026</t>
        </is>
      </c>
      <c r="C11" s="15" t="n">
        <v>0.067908</v>
      </c>
      <c r="D11" s="30" t="n">
        <v>0.21248</v>
      </c>
    </row>
    <row r="12">
      <c r="A12" s="8" t="inlineStr">
        <is>
          <t>S7</t>
        </is>
      </c>
      <c r="B12" s="8" t="inlineStr">
        <is>
          <t>24/06/2026</t>
        </is>
      </c>
      <c r="C12" s="10" t="n">
        <v>0.073613</v>
      </c>
      <c r="D12" s="30" t="n">
        <v>0.286093</v>
      </c>
    </row>
    <row r="13">
      <c r="A13" s="13" t="inlineStr">
        <is>
          <t>S8</t>
        </is>
      </c>
      <c r="B13" s="13" t="inlineStr">
        <is>
          <t>01/07/2026</t>
        </is>
      </c>
      <c r="C13" s="15" t="n">
        <v>0.06694600000000001</v>
      </c>
      <c r="D13" s="30" t="n">
        <v>0.353039</v>
      </c>
    </row>
    <row r="14">
      <c r="A14" s="8" t="inlineStr">
        <is>
          <t>S9</t>
        </is>
      </c>
      <c r="B14" s="8" t="inlineStr">
        <is>
          <t>08/07/2026</t>
        </is>
      </c>
      <c r="C14" s="10" t="n">
        <v>0.074946</v>
      </c>
      <c r="D14" s="30" t="n">
        <v>0.4279849999999999</v>
      </c>
    </row>
    <row r="15">
      <c r="A15" s="13" t="inlineStr">
        <is>
          <t>S10</t>
        </is>
      </c>
      <c r="B15" s="13" t="inlineStr">
        <is>
          <t>15/07/2026</t>
        </is>
      </c>
      <c r="C15" s="15" t="n">
        <v>0.074946</v>
      </c>
      <c r="D15" s="30" t="n">
        <v>0.5029309999999999</v>
      </c>
    </row>
    <row r="16">
      <c r="A16" s="8" t="inlineStr">
        <is>
          <t>S11</t>
        </is>
      </c>
      <c r="B16" s="8" t="inlineStr">
        <is>
          <t>22/07/2026</t>
        </is>
      </c>
      <c r="C16" s="10" t="n">
        <v>0.074946</v>
      </c>
      <c r="D16" s="30" t="n">
        <v>0.577877</v>
      </c>
    </row>
    <row r="17">
      <c r="A17" s="13" t="inlineStr">
        <is>
          <t>S12</t>
        </is>
      </c>
      <c r="B17" s="13" t="inlineStr">
        <is>
          <t>29/07/2026</t>
        </is>
      </c>
      <c r="C17" s="15" t="n">
        <v>0.09495000000000001</v>
      </c>
      <c r="D17" s="30" t="n">
        <v>0.672827</v>
      </c>
    </row>
    <row r="18">
      <c r="A18" s="8" t="inlineStr">
        <is>
          <t>S13</t>
        </is>
      </c>
      <c r="B18" s="8" t="inlineStr">
        <is>
          <t>05/08/2026</t>
        </is>
      </c>
      <c r="C18" s="10" t="n">
        <v>0.09380700000000002</v>
      </c>
      <c r="D18" s="30" t="n">
        <v>0.7666339999999999</v>
      </c>
    </row>
    <row r="19">
      <c r="A19" s="13" t="inlineStr">
        <is>
          <t>S14</t>
        </is>
      </c>
      <c r="B19" s="13" t="inlineStr">
        <is>
          <t>12/08/2026</t>
        </is>
      </c>
      <c r="C19" s="15" t="n">
        <v>0.07853700000000001</v>
      </c>
      <c r="D19" s="30" t="n">
        <v>0.845171</v>
      </c>
    </row>
    <row r="20">
      <c r="A20" s="8" t="inlineStr">
        <is>
          <t>S15</t>
        </is>
      </c>
      <c r="B20" s="8" t="inlineStr">
        <is>
          <t>19/08/2026</t>
        </is>
      </c>
      <c r="C20" s="10" t="n">
        <v>0.108537</v>
      </c>
      <c r="D20" s="30" t="n">
        <v>0.953708</v>
      </c>
    </row>
    <row r="21">
      <c r="A21" s="13" t="inlineStr">
        <is>
          <t>S16</t>
        </is>
      </c>
      <c r="B21" s="13" t="inlineStr">
        <is>
          <t>26/08/2026</t>
        </is>
      </c>
      <c r="C21" s="15" t="n">
        <v>0.105201</v>
      </c>
      <c r="D21" s="30" t="n">
        <v>1.058909</v>
      </c>
    </row>
    <row r="22">
      <c r="A22" s="8" t="inlineStr">
        <is>
          <t>S17</t>
        </is>
      </c>
      <c r="B22" s="8" t="inlineStr">
        <is>
          <t>02/09/2026</t>
        </is>
      </c>
      <c r="C22" s="10" t="n">
        <v>0.083469</v>
      </c>
      <c r="D22" s="30" t="n">
        <v>1.142378</v>
      </c>
    </row>
    <row r="23">
      <c r="A23" s="13" t="inlineStr">
        <is>
          <t>S18</t>
        </is>
      </c>
      <c r="B23" s="13" t="inlineStr">
        <is>
          <t>09/09/2026</t>
        </is>
      </c>
      <c r="C23" s="15" t="n">
        <v>0.038158</v>
      </c>
      <c r="D23" s="30" t="n">
        <v>1.180536</v>
      </c>
    </row>
    <row r="24">
      <c r="A24" s="8" t="inlineStr">
        <is>
          <t>S19</t>
        </is>
      </c>
      <c r="B24" s="8" t="inlineStr">
        <is>
          <t>16/09/2026</t>
        </is>
      </c>
      <c r="C24" s="10" t="n">
        <v>0.010068</v>
      </c>
      <c r="D24" s="30" t="n">
        <v>1.190604</v>
      </c>
    </row>
    <row r="25">
      <c r="A25" s="13" t="inlineStr">
        <is>
          <t>S20</t>
        </is>
      </c>
      <c r="B25" s="13" t="inlineStr">
        <is>
          <t>23/09/2026</t>
        </is>
      </c>
      <c r="C25" s="15" t="n">
        <v>0.004241999999999999</v>
      </c>
      <c r="D25" s="30" t="n">
        <v>1.194846</v>
      </c>
    </row>
    <row r="26">
      <c r="A26" s="8" t="inlineStr">
        <is>
          <t>S21</t>
        </is>
      </c>
      <c r="B26" s="8" t="inlineStr">
        <is>
          <t>30/09/2026</t>
        </is>
      </c>
      <c r="C26" s="10" t="n">
        <v>0.004242999999999999</v>
      </c>
      <c r="D26" s="30" t="n">
        <v>1.199089</v>
      </c>
    </row>
    <row r="27">
      <c r="A27" s="13" t="inlineStr">
        <is>
          <t>S22</t>
        </is>
      </c>
      <c r="B27" s="13" t="inlineStr">
        <is>
          <t>07/10/2026</t>
        </is>
      </c>
      <c r="C27" s="15" t="n">
        <v>0.000911</v>
      </c>
      <c r="D27" s="30" t="n">
        <v>1.2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>
      <c r="A1" s="27" t="inlineStr">
        <is>
          <t>FLUJO DE ESTIMACIONES QUINCENALES</t>
        </is>
      </c>
      <c r="B1" s="37" t="n"/>
      <c r="C1" s="37" t="n"/>
      <c r="D1" s="37" t="n"/>
      <c r="E1" s="37" t="n"/>
      <c r="F1" s="37" t="n"/>
      <c r="G1" s="37" t="n"/>
      <c r="H1" s="38" t="n"/>
    </row>
    <row r="2">
      <c r="A2" s="28" t="inlineStr">
        <is>
          <t>Habilitación del primer nivel del edificio "F" de la Unidad Lerma</t>
        </is>
      </c>
      <c r="B2" s="37" t="n"/>
      <c r="C2" s="37" t="n"/>
      <c r="D2" s="37" t="n"/>
      <c r="E2" s="37" t="n"/>
      <c r="F2" s="37" t="n"/>
      <c r="G2" s="37" t="n"/>
      <c r="H2" s="38" t="n"/>
    </row>
    <row r="3">
      <c r="A3" s="32" t="inlineStr">
        <is>
          <t>Licitación: UAM.JA.RG.LP.03.2026  |  Anticipo: 30%</t>
        </is>
      </c>
      <c r="B3" s="37" t="n"/>
      <c r="C3" s="37" t="n"/>
      <c r="D3" s="37" t="n"/>
      <c r="E3" s="37" t="n"/>
      <c r="F3" s="37" t="n"/>
      <c r="G3" s="37" t="n"/>
      <c r="H3" s="38" t="n"/>
    </row>
    <row r="5">
      <c r="A5" s="29" t="inlineStr">
        <is>
          <t>No. Estimación</t>
        </is>
      </c>
      <c r="B5" s="29" t="inlineStr">
        <is>
          <t>Período</t>
        </is>
      </c>
      <c r="C5" s="29" t="inlineStr">
        <is>
          <t>Fecha de Corte</t>
        </is>
      </c>
      <c r="D5" s="29" t="inlineStr">
        <is>
          <t>Semanas Cubiertas</t>
        </is>
      </c>
      <c r="E5" s="29" t="inlineStr">
        <is>
          <t>Avance del Período (%)</t>
        </is>
      </c>
      <c r="F5" s="29" t="inlineStr">
        <is>
          <t>Avance Acumulado (%)</t>
        </is>
      </c>
      <c r="G5" s="29" t="inlineStr">
        <is>
          <t>Observaciones</t>
        </is>
      </c>
    </row>
    <row r="6">
      <c r="A6" s="33" t="inlineStr">
        <is>
          <t>Estimación 1</t>
        </is>
      </c>
      <c r="B6" s="8" t="inlineStr">
        <is>
          <t>Semanas S1 - S2</t>
        </is>
      </c>
      <c r="C6" s="8" t="inlineStr">
        <is>
          <t>26/05/2026</t>
        </is>
      </c>
      <c r="D6" s="8" t="inlineStr">
        <is>
          <t>S1 a S2</t>
        </is>
      </c>
      <c r="E6" s="30" t="n">
        <v>0.035454</v>
      </c>
      <c r="F6" s="34" t="n">
        <v>0.035454</v>
      </c>
      <c r="G6" s="9" t="inlineStr">
        <is>
          <t>Inicio de obra / Anticipo 30%</t>
        </is>
      </c>
    </row>
    <row r="7">
      <c r="A7" s="35" t="inlineStr">
        <is>
          <t>Estimación 2</t>
        </is>
      </c>
      <c r="B7" s="13" t="inlineStr">
        <is>
          <t>Semanas S3 - S4</t>
        </is>
      </c>
      <c r="C7" s="13" t="inlineStr">
        <is>
          <t>09/06/2026</t>
        </is>
      </c>
      <c r="D7" s="13" t="inlineStr">
        <is>
          <t>S3 a S4</t>
        </is>
      </c>
      <c r="E7" s="30" t="n">
        <v>0.059534</v>
      </c>
      <c r="F7" s="34" t="n">
        <v>0.09498799999999999</v>
      </c>
      <c r="G7" s="14" t="inlineStr">
        <is>
          <t>Albañilerías e Instalaciones</t>
        </is>
      </c>
    </row>
    <row r="8">
      <c r="A8" s="33" t="inlineStr">
        <is>
          <t>Estimación 3</t>
        </is>
      </c>
      <c r="B8" s="8" t="inlineStr">
        <is>
          <t>Semanas S5 - S6</t>
        </is>
      </c>
      <c r="C8" s="8" t="inlineStr">
        <is>
          <t>23/06/2026</t>
        </is>
      </c>
      <c r="D8" s="8" t="inlineStr">
        <is>
          <t>S5 a S6</t>
        </is>
      </c>
      <c r="E8" s="30" t="n">
        <v>0.117492</v>
      </c>
      <c r="F8" s="34" t="n">
        <v>0.21248</v>
      </c>
      <c r="G8" s="9" t="inlineStr">
        <is>
          <t>Avance instalaciones</t>
        </is>
      </c>
    </row>
    <row r="9">
      <c r="A9" s="35" t="inlineStr">
        <is>
          <t>Estimación 4</t>
        </is>
      </c>
      <c r="B9" s="13" t="inlineStr">
        <is>
          <t>Semanas S7 - S8</t>
        </is>
      </c>
      <c r="C9" s="13" t="inlineStr">
        <is>
          <t>07/07/2026</t>
        </is>
      </c>
      <c r="D9" s="13" t="inlineStr">
        <is>
          <t>S7 a S8</t>
        </is>
      </c>
      <c r="E9" s="30" t="n">
        <v>0.140559</v>
      </c>
      <c r="F9" s="34" t="n">
        <v>0.353039</v>
      </c>
      <c r="G9" s="14" t="inlineStr">
        <is>
          <t>Avance instalaciones especiales</t>
        </is>
      </c>
    </row>
    <row r="10">
      <c r="A10" s="33" t="inlineStr">
        <is>
          <t>Estimación 5</t>
        </is>
      </c>
      <c r="B10" s="8" t="inlineStr">
        <is>
          <t>Semanas S9 - S10</t>
        </is>
      </c>
      <c r="C10" s="8" t="inlineStr">
        <is>
          <t>21/07/2026</t>
        </is>
      </c>
      <c r="D10" s="8" t="inlineStr">
        <is>
          <t>S9 a S10</t>
        </is>
      </c>
      <c r="E10" s="30" t="n">
        <v>0.149892</v>
      </c>
      <c r="F10" s="34" t="n">
        <v>0.5029309999999999</v>
      </c>
      <c r="G10" s="9" t="inlineStr">
        <is>
          <t>Estructuras y acabados</t>
        </is>
      </c>
    </row>
    <row r="11">
      <c r="A11" s="35" t="inlineStr">
        <is>
          <t>Estimación 6</t>
        </is>
      </c>
      <c r="B11" s="13" t="inlineStr">
        <is>
          <t>Semanas S11 - S12</t>
        </is>
      </c>
      <c r="C11" s="13" t="inlineStr">
        <is>
          <t>04/08/2026</t>
        </is>
      </c>
      <c r="D11" s="13" t="inlineStr">
        <is>
          <t>S11 a S12</t>
        </is>
      </c>
      <c r="E11" s="30" t="n">
        <v>0.169896</v>
      </c>
      <c r="F11" s="34" t="n">
        <v>0.6728270000000001</v>
      </c>
      <c r="G11" s="14" t="inlineStr">
        <is>
          <t>Acabados y carpinterías</t>
        </is>
      </c>
    </row>
    <row r="12">
      <c r="A12" s="33" t="inlineStr">
        <is>
          <t>Estimación 7</t>
        </is>
      </c>
      <c r="B12" s="8" t="inlineStr">
        <is>
          <t>Semanas S13 - S14</t>
        </is>
      </c>
      <c r="C12" s="8" t="inlineStr">
        <is>
          <t>18/08/2026</t>
        </is>
      </c>
      <c r="D12" s="8" t="inlineStr">
        <is>
          <t>S13 a S14</t>
        </is>
      </c>
      <c r="E12" s="30" t="n">
        <v>0.172344</v>
      </c>
      <c r="F12" s="34" t="n">
        <v>0.845171</v>
      </c>
      <c r="G12" s="9" t="inlineStr">
        <is>
          <t>Acabados zona mediateca</t>
        </is>
      </c>
    </row>
    <row r="13">
      <c r="A13" s="35" t="inlineStr">
        <is>
          <t>Estimación 8</t>
        </is>
      </c>
      <c r="B13" s="13" t="inlineStr">
        <is>
          <t>Semanas S15 - S16</t>
        </is>
      </c>
      <c r="C13" s="13" t="inlineStr">
        <is>
          <t>01/09/2026</t>
        </is>
      </c>
      <c r="D13" s="13" t="inlineStr">
        <is>
          <t>S15 a S16</t>
        </is>
      </c>
      <c r="E13" s="30" t="n">
        <v>0.213738</v>
      </c>
      <c r="F13" s="34" t="n">
        <v>1.058909</v>
      </c>
      <c r="G13" s="14" t="inlineStr">
        <is>
          <t>Núcleos sanitarios y herrerías</t>
        </is>
      </c>
    </row>
    <row r="14">
      <c r="A14" s="33" t="inlineStr">
        <is>
          <t>Estimación 9</t>
        </is>
      </c>
      <c r="B14" s="8" t="inlineStr">
        <is>
          <t>Semanas S17 - S19</t>
        </is>
      </c>
      <c r="C14" s="8" t="inlineStr">
        <is>
          <t>22/09/2026</t>
        </is>
      </c>
      <c r="D14" s="8" t="inlineStr">
        <is>
          <t>S17 a S19</t>
        </is>
      </c>
      <c r="E14" s="30" t="n">
        <v>0.131695</v>
      </c>
      <c r="F14" s="34" t="n">
        <v>1.190604</v>
      </c>
      <c r="G14" s="9" t="inlineStr">
        <is>
          <t>Instalaciones finales y pruebas</t>
        </is>
      </c>
    </row>
    <row r="15">
      <c r="A15" s="35" t="inlineStr">
        <is>
          <t>Estimación 10</t>
        </is>
      </c>
      <c r="B15" s="13" t="inlineStr">
        <is>
          <t>Semanas S20 - S22</t>
        </is>
      </c>
      <c r="C15" s="13" t="inlineStr">
        <is>
          <t>13/10/2026</t>
        </is>
      </c>
      <c r="D15" s="13" t="inlineStr">
        <is>
          <t>S20 a S22</t>
        </is>
      </c>
      <c r="E15" s="30" t="n">
        <v>0.009395999999999998</v>
      </c>
      <c r="F15" s="34" t="n">
        <v>1.2</v>
      </c>
      <c r="G15" s="14" t="inlineStr">
        <is>
          <t>Pruebas, puesta en marcha y entrega</t>
        </is>
      </c>
    </row>
    <row r="17">
      <c r="A17" s="29" t="inlineStr">
        <is>
          <t>TOTAL</t>
        </is>
      </c>
      <c r="B17" s="17" t="n"/>
      <c r="C17" s="17" t="n"/>
      <c r="D17" s="17" t="n"/>
      <c r="E17" s="21" t="n">
        <v>1.2</v>
      </c>
      <c r="F17" s="21" t="n">
        <v>1.2</v>
      </c>
      <c r="G17" s="17" t="n"/>
    </row>
    <row r="19">
      <c r="A19" s="36" t="inlineStr">
        <is>
          <t>NOTA: Se considera un anticipo del 30% que se amortizará proporcionalmente en cada estimación conforme a la normativa vigente.</t>
        </is>
      </c>
    </row>
  </sheetData>
  <mergeCells count="4">
    <mergeCell ref="A19:G19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2026-03-06T21:37:15Z</dcterms:created>
  <dcterms:modified xmlns:dcterms="http://purl.org/dc/terms/" xmlns:xsi="http://www.w3.org/2001/XMLSchema-instance" xsi:type="dcterms:W3CDTF">2026-03-06T21:38:18Z</dcterms:modified>
</cp:coreProperties>
</file>