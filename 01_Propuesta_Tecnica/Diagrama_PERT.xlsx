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T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EPEN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3366"/>
      <sz val="12"/>
    </font>
    <font>
      <name val="Calibri"/>
      <color rgb="00003366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000000"/>
      <sz val="10"/>
    </font>
    <font>
      <name val="Calibri"/>
      <color rgb="00006100"/>
      <sz val="8"/>
    </font>
    <font>
      <b val="1"/>
      <color rgb="00FFFFFF"/>
    </font>
    <font>
      <b val="1"/>
      <color rgb="00CC0000"/>
    </font>
    <font/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FE0E0"/>
        <bgColor rgb="00FFE0E0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  <fill>
      <patternFill patternType="solid">
        <fgColor rgb="00FFCCCC"/>
        <bgColor rgb="00FFCCCC"/>
      </patternFill>
    </fill>
  </fills>
  <borders count="6">
    <border>
      <left/>
      <right/>
      <top/>
      <bottom/>
      <diagonal/>
    </border>
    <border>
      <left style="thin">
        <color rgb="00003366"/>
      </left>
      <right style="thin">
        <color rgb="00003366"/>
      </right>
      <top style="thin">
        <color rgb="00003366"/>
      </top>
      <bottom style="thin">
        <color rgb="00003366"/>
      </bottom>
    </border>
    <border>
      <left/>
      <right/>
      <top style="thin">
        <color rgb="00003366"/>
      </top>
      <bottom/>
      <diagonal/>
    </border>
    <border>
      <left/>
      <right style="thin">
        <color rgb="00003366"/>
      </right>
      <top style="thin">
        <color rgb="00003366"/>
      </top>
      <bottom/>
      <diagonal/>
    </border>
    <border>
      <left/>
      <right/>
      <top style="thin">
        <color rgb="00003366"/>
      </top>
      <bottom style="thin">
        <color rgb="00003366"/>
      </bottom>
      <diagonal/>
    </border>
    <border>
      <left/>
      <right style="thin">
        <color rgb="00003366"/>
      </right>
      <top style="thin">
        <color rgb="00003366"/>
      </top>
      <bottom style="thin">
        <color rgb="00003366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7" borderId="0" pivotButton="0" quotePrefix="0" xfId="0"/>
    <xf numFmtId="0" fontId="6" fillId="7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164" fontId="10" fillId="10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L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1" customWidth="1" min="4" max="4"/>
    <col width="11" customWidth="1" min="5" max="5"/>
    <col width="30" customWidth="1" min="6" max="6"/>
    <col width="15" customWidth="1" min="7" max="7"/>
    <col width="15" customWidth="1" min="8" max="8"/>
    <col width="15" customWidth="1" min="9" max="9"/>
    <col width="15" customWidth="1" min="10" max="10"/>
    <col width="11" customWidth="1" min="11" max="11"/>
    <col width="11" customWidth="1" min="12" max="12"/>
  </cols>
  <sheetData>
    <row r="1" ht="35" customHeight="1">
      <c r="A1" s="1" t="inlineStr">
        <is>
          <t>DIAGRAMA PERT - Licitacion UAM.JA.RG.LP.03.2026</t>
        </is>
      </c>
    </row>
    <row r="2" ht="25" customHeight="1">
      <c r="A2" s="2" t="inlineStr">
        <is>
          <t>Habilitacion del primer nivel del edificio "F" de la Unidad Lerma</t>
        </is>
      </c>
    </row>
    <row r="3" ht="22" customHeight="1">
      <c r="A3" s="3" t="inlineStr">
        <is>
          <t>Plazo: 5 meses (13 mayo - 14 octubre 2026)  |  Superficie: ~1,830 m2  |  Turnos dobles/triples, fines de semana y festivos  |  Dos zonas en paralelo</t>
        </is>
      </c>
    </row>
    <row r="4" ht="22" customHeight="1">
      <c r="A4" s="4" t="inlineStr">
        <is>
          <t>Duración calculada: 154 días (22 semanas) - Comprimido por turnos dobles/triples | Fin: 14/10/2026</t>
        </is>
      </c>
    </row>
    <row r="6" ht="40" customHeight="1">
      <c r="A6" s="5" t="inlineStr">
        <is>
          <t>ID Actividad</t>
        </is>
      </c>
      <c r="B6" s="5" t="inlineStr">
        <is>
          <t>Descripcion</t>
        </is>
      </c>
      <c r="C6" s="5" t="inlineStr">
        <is>
          <t>Partida(s)
del Catalogo</t>
        </is>
      </c>
      <c r="D6" s="5" t="inlineStr">
        <is>
          <t>Duracion
(dias)</t>
        </is>
      </c>
      <c r="E6" s="5" t="inlineStr">
        <is>
          <t>Duracion
(semanas)</t>
        </is>
      </c>
      <c r="F6" s="5" t="inlineStr">
        <is>
          <t>Predecesoras</t>
        </is>
      </c>
      <c r="G6" s="5" t="inlineStr">
        <is>
          <t>Inicio
Temprano (ES)</t>
        </is>
      </c>
      <c r="H6" s="5" t="inlineStr">
        <is>
          <t>Fin
Temprano (EF)</t>
        </is>
      </c>
      <c r="I6" s="5" t="inlineStr">
        <is>
          <t>Inicio
Tardio (LS)</t>
        </is>
      </c>
      <c r="J6" s="5" t="inlineStr">
        <is>
          <t>Fin
Tardio (LF)</t>
        </is>
      </c>
      <c r="K6" s="5" t="inlineStr">
        <is>
          <t>Holgura
(dias)</t>
        </is>
      </c>
      <c r="L6" s="5" t="inlineStr">
        <is>
          <t>Ruta
Critica</t>
        </is>
      </c>
    </row>
    <row r="7" ht="28" customHeight="1">
      <c r="A7" s="40" t="inlineStr">
        <is>
          <t>A1</t>
        </is>
      </c>
      <c r="B7" s="41" t="inlineStr">
        <is>
          <t>Preliminares Aulas (trazo, protecciones, limpieza inicial)</t>
        </is>
      </c>
      <c r="C7" s="40" t="inlineStr">
        <is>
          <t>1</t>
        </is>
      </c>
      <c r="D7" s="40" t="n">
        <v>7</v>
      </c>
      <c r="E7" s="40" t="n">
        <v>1</v>
      </c>
      <c r="F7" s="40" t="inlineStr">
        <is>
          <t>-</t>
        </is>
      </c>
      <c r="G7" s="42" t="n">
        <v>46155</v>
      </c>
      <c r="H7" s="42" t="n">
        <v>46162</v>
      </c>
      <c r="I7" s="42" t="n">
        <v>46169</v>
      </c>
      <c r="J7" s="42" t="n">
        <v>46176</v>
      </c>
      <c r="K7" s="40" t="n">
        <v>14</v>
      </c>
      <c r="L7" s="40" t="inlineStr">
        <is>
          <t>No</t>
        </is>
      </c>
    </row>
    <row r="8" ht="28" customHeight="1">
      <c r="A8" s="40" t="inlineStr">
        <is>
          <t>A2</t>
        </is>
      </c>
      <c r="B8" s="41" t="inlineStr">
        <is>
          <t>Preliminares Mediateca (desmantelamientos, acarreos, trazo)</t>
        </is>
      </c>
      <c r="C8" s="40" t="inlineStr">
        <is>
          <t>11</t>
        </is>
      </c>
      <c r="D8" s="40" t="n">
        <v>7</v>
      </c>
      <c r="E8" s="40" t="n">
        <v>1</v>
      </c>
      <c r="F8" s="40" t="inlineStr">
        <is>
          <t>-</t>
        </is>
      </c>
      <c r="G8" s="42" t="n">
        <v>46155</v>
      </c>
      <c r="H8" s="42" t="n">
        <v>46162</v>
      </c>
      <c r="I8" s="42" t="n">
        <v>46211</v>
      </c>
      <c r="J8" s="42" t="n">
        <v>46218</v>
      </c>
      <c r="K8" s="40" t="n">
        <v>56</v>
      </c>
      <c r="L8" s="40" t="inlineStr">
        <is>
          <t>No</t>
        </is>
      </c>
    </row>
    <row r="9" ht="28" customHeight="1">
      <c r="A9" s="40" t="inlineStr">
        <is>
          <t>A3</t>
        </is>
      </c>
      <c r="B9" s="41" t="inlineStr">
        <is>
          <t>Albanileria: Firmes Aulas</t>
        </is>
      </c>
      <c r="C9" s="40" t="inlineStr">
        <is>
          <t>2</t>
        </is>
      </c>
      <c r="D9" s="40" t="n">
        <v>14</v>
      </c>
      <c r="E9" s="40" t="n">
        <v>2</v>
      </c>
      <c r="F9" s="40" t="inlineStr">
        <is>
          <t>A1</t>
        </is>
      </c>
      <c r="G9" s="42" t="n">
        <v>46162</v>
      </c>
      <c r="H9" s="42" t="n">
        <v>46176</v>
      </c>
      <c r="I9" s="42" t="n">
        <v>46176</v>
      </c>
      <c r="J9" s="42" t="n">
        <v>46190</v>
      </c>
      <c r="K9" s="40" t="n">
        <v>14</v>
      </c>
      <c r="L9" s="40" t="inlineStr">
        <is>
          <t>No</t>
        </is>
      </c>
    </row>
    <row r="10" ht="28" customHeight="1">
      <c r="A10" s="40" t="inlineStr">
        <is>
          <t>A4</t>
        </is>
      </c>
      <c r="B10" s="41" t="inlineStr">
        <is>
          <t>Albanileria: Firmes Mediateca</t>
        </is>
      </c>
      <c r="C10" s="40" t="inlineStr">
        <is>
          <t>12</t>
        </is>
      </c>
      <c r="D10" s="40" t="n">
        <v>7</v>
      </c>
      <c r="E10" s="40" t="n">
        <v>1</v>
      </c>
      <c r="F10" s="40" t="inlineStr">
        <is>
          <t>A2</t>
        </is>
      </c>
      <c r="G10" s="42" t="n">
        <v>46162</v>
      </c>
      <c r="H10" s="42" t="n">
        <v>46169</v>
      </c>
      <c r="I10" s="42" t="n">
        <v>46218</v>
      </c>
      <c r="J10" s="42" t="n">
        <v>46225</v>
      </c>
      <c r="K10" s="40" t="n">
        <v>56</v>
      </c>
      <c r="L10" s="40" t="inlineStr">
        <is>
          <t>No</t>
        </is>
      </c>
    </row>
    <row r="11" ht="28" customHeight="1">
      <c r="A11" s="40" t="inlineStr">
        <is>
          <t>A5</t>
        </is>
      </c>
      <c r="B11" s="41" t="inlineStr">
        <is>
          <t>Albanileria: Muros Block y Tablaroca Aulas</t>
        </is>
      </c>
      <c r="C11" s="40" t="inlineStr">
        <is>
          <t>2</t>
        </is>
      </c>
      <c r="D11" s="40" t="n">
        <v>21</v>
      </c>
      <c r="E11" s="40" t="n">
        <v>3</v>
      </c>
      <c r="F11" s="40" t="inlineStr">
        <is>
          <t>A3</t>
        </is>
      </c>
      <c r="G11" s="42" t="n">
        <v>46176</v>
      </c>
      <c r="H11" s="42" t="n">
        <v>46197</v>
      </c>
      <c r="I11" s="42" t="n">
        <v>46190</v>
      </c>
      <c r="J11" s="42" t="n">
        <v>46211</v>
      </c>
      <c r="K11" s="40" t="n">
        <v>14</v>
      </c>
      <c r="L11" s="40" t="inlineStr">
        <is>
          <t>No</t>
        </is>
      </c>
    </row>
    <row r="12" ht="28" customHeight="1">
      <c r="A12" s="40" t="inlineStr">
        <is>
          <t>A6</t>
        </is>
      </c>
      <c r="B12" s="41" t="inlineStr">
        <is>
          <t>Albanileria: Muros Block y Tablaroca Mediateca</t>
        </is>
      </c>
      <c r="C12" s="40" t="inlineStr">
        <is>
          <t>12</t>
        </is>
      </c>
      <c r="D12" s="40" t="n">
        <v>14</v>
      </c>
      <c r="E12" s="40" t="n">
        <v>2</v>
      </c>
      <c r="F12" s="40" t="inlineStr">
        <is>
          <t>A4</t>
        </is>
      </c>
      <c r="G12" s="42" t="n">
        <v>46169</v>
      </c>
      <c r="H12" s="42" t="n">
        <v>46183</v>
      </c>
      <c r="I12" s="42" t="n">
        <v>46225</v>
      </c>
      <c r="J12" s="42" t="n">
        <v>46239</v>
      </c>
      <c r="K12" s="40" t="n">
        <v>56</v>
      </c>
      <c r="L12" s="40" t="inlineStr">
        <is>
          <t>No</t>
        </is>
      </c>
    </row>
    <row r="13" ht="28" customHeight="1">
      <c r="A13" s="40" t="inlineStr">
        <is>
          <t>A7</t>
        </is>
      </c>
      <c r="B13" s="41" t="inlineStr">
        <is>
          <t>Castillos y Dalas Aulas</t>
        </is>
      </c>
      <c r="C13" s="40" t="inlineStr">
        <is>
          <t>2</t>
        </is>
      </c>
      <c r="D13" s="40" t="n">
        <v>14</v>
      </c>
      <c r="E13" s="40" t="n">
        <v>2</v>
      </c>
      <c r="F13" s="40" t="inlineStr">
        <is>
          <t>A5</t>
        </is>
      </c>
      <c r="G13" s="42" t="n">
        <v>46197</v>
      </c>
      <c r="H13" s="42" t="n">
        <v>46211</v>
      </c>
      <c r="I13" s="42" t="n">
        <v>46211</v>
      </c>
      <c r="J13" s="42" t="n">
        <v>46225</v>
      </c>
      <c r="K13" s="40" t="n">
        <v>14</v>
      </c>
      <c r="L13" s="40" t="inlineStr">
        <is>
          <t>No</t>
        </is>
      </c>
    </row>
    <row r="14" ht="28" customHeight="1">
      <c r="A14" s="40" t="inlineStr">
        <is>
          <t>A8</t>
        </is>
      </c>
      <c r="B14" s="41" t="inlineStr">
        <is>
          <t>Castillos y Dalas Mediateca</t>
        </is>
      </c>
      <c r="C14" s="40" t="inlineStr">
        <is>
          <t>12</t>
        </is>
      </c>
      <c r="D14" s="40" t="n">
        <v>7</v>
      </c>
      <c r="E14" s="40" t="n">
        <v>1</v>
      </c>
      <c r="F14" s="40" t="inlineStr">
        <is>
          <t>A6</t>
        </is>
      </c>
      <c r="G14" s="42" t="n">
        <v>46183</v>
      </c>
      <c r="H14" s="42" t="n">
        <v>46190</v>
      </c>
      <c r="I14" s="42" t="n">
        <v>46239</v>
      </c>
      <c r="J14" s="42" t="n">
        <v>46246</v>
      </c>
      <c r="K14" s="40" t="n">
        <v>56</v>
      </c>
      <c r="L14" s="40" t="inlineStr">
        <is>
          <t>No</t>
        </is>
      </c>
    </row>
    <row r="15" ht="28" customHeight="1">
      <c r="A15" s="40" t="inlineStr">
        <is>
          <t>A9</t>
        </is>
      </c>
      <c r="B15" s="41" t="inlineStr">
        <is>
          <t>Instalacion Hidrosanitaria oculta Aulas</t>
        </is>
      </c>
      <c r="C15" s="40" t="inlineStr">
        <is>
          <t>6</t>
        </is>
      </c>
      <c r="D15" s="40" t="n">
        <v>14</v>
      </c>
      <c r="E15" s="40" t="n">
        <v>2</v>
      </c>
      <c r="F15" s="40" t="inlineStr">
        <is>
          <t>A7</t>
        </is>
      </c>
      <c r="G15" s="42" t="n">
        <v>46211</v>
      </c>
      <c r="H15" s="42" t="n">
        <v>46225</v>
      </c>
      <c r="I15" s="42" t="n">
        <v>46239</v>
      </c>
      <c r="J15" s="42" t="n">
        <v>46253</v>
      </c>
      <c r="K15" s="40" t="n">
        <v>28</v>
      </c>
      <c r="L15" s="40" t="inlineStr">
        <is>
          <t>No</t>
        </is>
      </c>
    </row>
    <row r="16" ht="28" customHeight="1">
      <c r="A16" s="40" t="inlineStr">
        <is>
          <t>A10</t>
        </is>
      </c>
      <c r="B16" s="41" t="inlineStr">
        <is>
          <t>Instalacion Hidrosanitaria oculta Mediateca</t>
        </is>
      </c>
      <c r="C16" s="40" t="inlineStr">
        <is>
          <t>16</t>
        </is>
      </c>
      <c r="D16" s="40" t="n">
        <v>14</v>
      </c>
      <c r="E16" s="40" t="n">
        <v>2</v>
      </c>
      <c r="F16" s="40" t="inlineStr">
        <is>
          <t>A8</t>
        </is>
      </c>
      <c r="G16" s="42" t="n">
        <v>46190</v>
      </c>
      <c r="H16" s="42" t="n">
        <v>46204</v>
      </c>
      <c r="I16" s="42" t="n">
        <v>46253</v>
      </c>
      <c r="J16" s="42" t="n">
        <v>46267</v>
      </c>
      <c r="K16" s="40" t="n">
        <v>63</v>
      </c>
      <c r="L16" s="40" t="inlineStr">
        <is>
          <t>No</t>
        </is>
      </c>
    </row>
    <row r="17" ht="28" customHeight="1">
      <c r="A17" s="40" t="inlineStr">
        <is>
          <t>A11</t>
        </is>
      </c>
      <c r="B17" s="41" t="inlineStr">
        <is>
          <t>Instalacion Electrica oculta Aulas (tuberia conduit, cajas, registros)</t>
        </is>
      </c>
      <c r="C17" s="40" t="inlineStr">
        <is>
          <t>7</t>
        </is>
      </c>
      <c r="D17" s="40" t="n">
        <v>21</v>
      </c>
      <c r="E17" s="40" t="n">
        <v>3</v>
      </c>
      <c r="F17" s="40" t="inlineStr">
        <is>
          <t>A7</t>
        </is>
      </c>
      <c r="G17" s="42" t="n">
        <v>46211</v>
      </c>
      <c r="H17" s="42" t="n">
        <v>46232</v>
      </c>
      <c r="I17" s="42" t="n">
        <v>46225</v>
      </c>
      <c r="J17" s="42" t="n">
        <v>46246</v>
      </c>
      <c r="K17" s="40" t="n">
        <v>14</v>
      </c>
      <c r="L17" s="40" t="inlineStr">
        <is>
          <t>No</t>
        </is>
      </c>
    </row>
    <row r="18" ht="28" customHeight="1">
      <c r="A18" s="40" t="inlineStr">
        <is>
          <t>A12</t>
        </is>
      </c>
      <c r="B18" s="41" t="inlineStr">
        <is>
          <t>Instalacion Electrica oculta Mediateca (tuberia conduit, cajas, registros)</t>
        </is>
      </c>
      <c r="C18" s="40" t="inlineStr">
        <is>
          <t>7,17</t>
        </is>
      </c>
      <c r="D18" s="40" t="n">
        <v>14</v>
      </c>
      <c r="E18" s="40" t="n">
        <v>2</v>
      </c>
      <c r="F18" s="40" t="inlineStr">
        <is>
          <t>A8</t>
        </is>
      </c>
      <c r="G18" s="42" t="n">
        <v>46190</v>
      </c>
      <c r="H18" s="42" t="n">
        <v>46204</v>
      </c>
      <c r="I18" s="42" t="n">
        <v>46246</v>
      </c>
      <c r="J18" s="42" t="n">
        <v>46260</v>
      </c>
      <c r="K18" s="40" t="n">
        <v>56</v>
      </c>
      <c r="L18" s="40" t="inlineStr">
        <is>
          <t>No</t>
        </is>
      </c>
    </row>
    <row r="19" ht="28" customHeight="1">
      <c r="A19" s="40" t="inlineStr">
        <is>
          <t>A13</t>
        </is>
      </c>
      <c r="B19" s="41" t="inlineStr">
        <is>
          <t>Aire Acondicionado Aulas (tuberia refrigeracion, ductos)</t>
        </is>
      </c>
      <c r="C19" s="40" t="inlineStr">
        <is>
          <t>9</t>
        </is>
      </c>
      <c r="D19" s="40" t="n">
        <v>14</v>
      </c>
      <c r="E19" s="40" t="n">
        <v>2</v>
      </c>
      <c r="F19" s="40" t="inlineStr">
        <is>
          <t>A7</t>
        </is>
      </c>
      <c r="G19" s="42" t="n">
        <v>46211</v>
      </c>
      <c r="H19" s="42" t="n">
        <v>46225</v>
      </c>
      <c r="I19" s="42" t="n">
        <v>46232</v>
      </c>
      <c r="J19" s="42" t="n">
        <v>46246</v>
      </c>
      <c r="K19" s="40" t="n">
        <v>21</v>
      </c>
      <c r="L19" s="40" t="inlineStr">
        <is>
          <t>No</t>
        </is>
      </c>
    </row>
    <row r="20" ht="28" customHeight="1">
      <c r="A20" s="40" t="inlineStr">
        <is>
          <t>A14</t>
        </is>
      </c>
      <c r="B20" s="41" t="inlineStr">
        <is>
          <t>Aire Acondicionado Mediateca (sistema VRF, tuberia refrigeracion)</t>
        </is>
      </c>
      <c r="C20" s="40" t="inlineStr">
        <is>
          <t>20</t>
        </is>
      </c>
      <c r="D20" s="40" t="n">
        <v>14</v>
      </c>
      <c r="E20" s="40" t="n">
        <v>2</v>
      </c>
      <c r="F20" s="40" t="inlineStr">
        <is>
          <t>A8</t>
        </is>
      </c>
      <c r="G20" s="42" t="n">
        <v>46190</v>
      </c>
      <c r="H20" s="42" t="n">
        <v>46204</v>
      </c>
      <c r="I20" s="42" t="n">
        <v>46246</v>
      </c>
      <c r="J20" s="42" t="n">
        <v>46260</v>
      </c>
      <c r="K20" s="40" t="n">
        <v>56</v>
      </c>
      <c r="L20" s="40" t="inlineStr">
        <is>
          <t>No</t>
        </is>
      </c>
    </row>
    <row r="21" ht="28" customHeight="1">
      <c r="A21" s="40" t="inlineStr">
        <is>
          <t>A15</t>
        </is>
      </c>
      <c r="B21" s="41" t="inlineStr">
        <is>
          <t>Deteccion de Humos Aulas (tuberia y cableado oculto)</t>
        </is>
      </c>
      <c r="C21" s="40" t="inlineStr">
        <is>
          <t>10</t>
        </is>
      </c>
      <c r="D21" s="40" t="n">
        <v>14</v>
      </c>
      <c r="E21" s="40" t="n">
        <v>2</v>
      </c>
      <c r="F21" s="40" t="inlineStr">
        <is>
          <t>A7</t>
        </is>
      </c>
      <c r="G21" s="42" t="n">
        <v>46211</v>
      </c>
      <c r="H21" s="42" t="n">
        <v>46225</v>
      </c>
      <c r="I21" s="42" t="n">
        <v>46232</v>
      </c>
      <c r="J21" s="42" t="n">
        <v>46246</v>
      </c>
      <c r="K21" s="40" t="n">
        <v>21</v>
      </c>
      <c r="L21" s="40" t="inlineStr">
        <is>
          <t>No</t>
        </is>
      </c>
    </row>
    <row r="22" ht="28" customHeight="1">
      <c r="A22" s="40" t="inlineStr">
        <is>
          <t>A16</t>
        </is>
      </c>
      <c r="B22" s="41" t="inlineStr">
        <is>
          <t>Deteccion de Humos Mediateca (tuberia y cableado oculto)</t>
        </is>
      </c>
      <c r="C22" s="40" t="inlineStr">
        <is>
          <t>21</t>
        </is>
      </c>
      <c r="D22" s="40" t="n">
        <v>14</v>
      </c>
      <c r="E22" s="40" t="n">
        <v>2</v>
      </c>
      <c r="F22" s="40" t="inlineStr">
        <is>
          <t>A8</t>
        </is>
      </c>
      <c r="G22" s="42" t="n">
        <v>46190</v>
      </c>
      <c r="H22" s="42" t="n">
        <v>46204</v>
      </c>
      <c r="I22" s="42" t="n">
        <v>46246</v>
      </c>
      <c r="J22" s="42" t="n">
        <v>46260</v>
      </c>
      <c r="K22" s="40" t="n">
        <v>56</v>
      </c>
      <c r="L22" s="40" t="inlineStr">
        <is>
          <t>No</t>
        </is>
      </c>
    </row>
    <row r="23" ht="28" customHeight="1">
      <c r="A23" s="40" t="inlineStr">
        <is>
          <t>A17</t>
        </is>
      </c>
      <c r="B23" s="41" t="inlineStr">
        <is>
          <t>Impermeabilizacion charolas sanitarios Aulas</t>
        </is>
      </c>
      <c r="C23" s="40" t="inlineStr">
        <is>
          <t>2</t>
        </is>
      </c>
      <c r="D23" s="40" t="n">
        <v>7</v>
      </c>
      <c r="E23" s="40" t="n">
        <v>1</v>
      </c>
      <c r="F23" s="40" t="inlineStr">
        <is>
          <t>A9</t>
        </is>
      </c>
      <c r="G23" s="42" t="n">
        <v>46225</v>
      </c>
      <c r="H23" s="42" t="n">
        <v>46232</v>
      </c>
      <c r="I23" s="42" t="n">
        <v>46253</v>
      </c>
      <c r="J23" s="42" t="n">
        <v>46260</v>
      </c>
      <c r="K23" s="40" t="n">
        <v>28</v>
      </c>
      <c r="L23" s="40" t="inlineStr">
        <is>
          <t>No</t>
        </is>
      </c>
    </row>
    <row r="24" ht="28" customHeight="1">
      <c r="A24" s="40" t="inlineStr">
        <is>
          <t>A18</t>
        </is>
      </c>
      <c r="B24" s="41" t="inlineStr">
        <is>
          <t>Impermeabilizacion charolas sanitarios Mediateca</t>
        </is>
      </c>
      <c r="C24" s="40" t="inlineStr">
        <is>
          <t>12</t>
        </is>
      </c>
      <c r="D24" s="40" t="n">
        <v>7</v>
      </c>
      <c r="E24" s="40" t="n">
        <v>1</v>
      </c>
      <c r="F24" s="40" t="inlineStr">
        <is>
          <t>A10</t>
        </is>
      </c>
      <c r="G24" s="42" t="n">
        <v>46204</v>
      </c>
      <c r="H24" s="42" t="n">
        <v>46211</v>
      </c>
      <c r="I24" s="42" t="n">
        <v>46267</v>
      </c>
      <c r="J24" s="42" t="n">
        <v>46274</v>
      </c>
      <c r="K24" s="40" t="n">
        <v>63</v>
      </c>
      <c r="L24" s="40" t="inlineStr">
        <is>
          <t>No</t>
        </is>
      </c>
    </row>
    <row r="25" ht="28" customHeight="1">
      <c r="A25" s="40" t="inlineStr">
        <is>
          <t>A19</t>
        </is>
      </c>
      <c r="B25" s="41" t="inlineStr">
        <is>
          <t>Plafones Aulas (reticular Armstrong + tablaroca)</t>
        </is>
      </c>
      <c r="C25" s="40" t="inlineStr">
        <is>
          <t>2</t>
        </is>
      </c>
      <c r="D25" s="40" t="n">
        <v>14</v>
      </c>
      <c r="E25" s="40" t="n">
        <v>2</v>
      </c>
      <c r="F25" s="40" t="inlineStr">
        <is>
          <t>A11, A13, A15</t>
        </is>
      </c>
      <c r="G25" s="42" t="n">
        <v>46232</v>
      </c>
      <c r="H25" s="42" t="n">
        <v>46246</v>
      </c>
      <c r="I25" s="42" t="n">
        <v>46246</v>
      </c>
      <c r="J25" s="42" t="n">
        <v>46260</v>
      </c>
      <c r="K25" s="40" t="n">
        <v>14</v>
      </c>
      <c r="L25" s="40" t="inlineStr">
        <is>
          <t>No</t>
        </is>
      </c>
    </row>
    <row r="26" ht="28" customHeight="1">
      <c r="A26" s="40" t="inlineStr">
        <is>
          <t>A20</t>
        </is>
      </c>
      <c r="B26" s="41" t="inlineStr">
        <is>
          <t>Plafones Mediateca (reticular Armstrong + tablaroca)</t>
        </is>
      </c>
      <c r="C26" s="40" t="inlineStr">
        <is>
          <t>12</t>
        </is>
      </c>
      <c r="D26" s="40" t="n">
        <v>7</v>
      </c>
      <c r="E26" s="40" t="n">
        <v>1</v>
      </c>
      <c r="F26" s="40" t="inlineStr">
        <is>
          <t>A12, A14, A16</t>
        </is>
      </c>
      <c r="G26" s="42" t="n">
        <v>46204</v>
      </c>
      <c r="H26" s="42" t="n">
        <v>46211</v>
      </c>
      <c r="I26" s="42" t="n">
        <v>46260</v>
      </c>
      <c r="J26" s="42" t="n">
        <v>46267</v>
      </c>
      <c r="K26" s="40" t="n">
        <v>56</v>
      </c>
      <c r="L26" s="40" t="inlineStr">
        <is>
          <t>No</t>
        </is>
      </c>
    </row>
    <row r="27" ht="28" customHeight="1">
      <c r="A27" s="40" t="inlineStr">
        <is>
          <t>A21</t>
        </is>
      </c>
      <c r="B27" s="41" t="inlineStr">
        <is>
          <t>Cableado electrico Aulas (THW en conduit, alimentadores)</t>
        </is>
      </c>
      <c r="C27" s="40" t="inlineStr">
        <is>
          <t>7</t>
        </is>
      </c>
      <c r="D27" s="40" t="n">
        <v>14</v>
      </c>
      <c r="E27" s="40" t="n">
        <v>2</v>
      </c>
      <c r="F27" s="40" t="inlineStr">
        <is>
          <t>A19</t>
        </is>
      </c>
      <c r="G27" s="42" t="n">
        <v>46246</v>
      </c>
      <c r="H27" s="42" t="n">
        <v>46260</v>
      </c>
      <c r="I27" s="42" t="n">
        <v>46260</v>
      </c>
      <c r="J27" s="42" t="n">
        <v>46274</v>
      </c>
      <c r="K27" s="40" t="n">
        <v>14</v>
      </c>
      <c r="L27" s="40" t="inlineStr">
        <is>
          <t>No</t>
        </is>
      </c>
    </row>
    <row r="28" ht="28" customHeight="1">
      <c r="A28" s="40" t="inlineStr">
        <is>
          <t>A22</t>
        </is>
      </c>
      <c r="B28" s="41" t="inlineStr">
        <is>
          <t>Cableado electrico Mediateca (THW en conduit, alimentadores)</t>
        </is>
      </c>
      <c r="C28" s="40" t="inlineStr">
        <is>
          <t>17</t>
        </is>
      </c>
      <c r="D28" s="40" t="n">
        <v>7</v>
      </c>
      <c r="E28" s="40" t="n">
        <v>1</v>
      </c>
      <c r="F28" s="40" t="inlineStr">
        <is>
          <t>A20</t>
        </is>
      </c>
      <c r="G28" s="42" t="n">
        <v>46211</v>
      </c>
      <c r="H28" s="42" t="n">
        <v>46218</v>
      </c>
      <c r="I28" s="42" t="n">
        <v>46274</v>
      </c>
      <c r="J28" s="42" t="n">
        <v>46281</v>
      </c>
      <c r="K28" s="40" t="n">
        <v>63</v>
      </c>
      <c r="L28" s="40" t="inlineStr">
        <is>
          <t>No</t>
        </is>
      </c>
    </row>
    <row r="29" ht="28" customHeight="1">
      <c r="A29" s="40" t="inlineStr">
        <is>
          <t>A23</t>
        </is>
      </c>
      <c r="B29" s="41" t="inlineStr">
        <is>
          <t>Acabados pisos Aulas (loseta, piso de oxido, zoclo vinil)</t>
        </is>
      </c>
      <c r="C29" s="40" t="inlineStr">
        <is>
          <t>3</t>
        </is>
      </c>
      <c r="D29" s="40" t="n">
        <v>14</v>
      </c>
      <c r="E29" s="40" t="n">
        <v>2</v>
      </c>
      <c r="F29" s="40" t="inlineStr">
        <is>
          <t>A19, A17</t>
        </is>
      </c>
      <c r="G29" s="42" t="n">
        <v>46246</v>
      </c>
      <c r="H29" s="42" t="n">
        <v>46260</v>
      </c>
      <c r="I29" s="42" t="n">
        <v>46260</v>
      </c>
      <c r="J29" s="42" t="n">
        <v>46274</v>
      </c>
      <c r="K29" s="40" t="n">
        <v>14</v>
      </c>
      <c r="L29" s="40" t="inlineStr">
        <is>
          <t>No</t>
        </is>
      </c>
    </row>
    <row r="30" ht="28" customHeight="1">
      <c r="A30" s="40" t="inlineStr">
        <is>
          <t>A24</t>
        </is>
      </c>
      <c r="B30" s="41" t="inlineStr">
        <is>
          <t>Acabados pisos Mediateca (loseta, piso de oxido, zoclo vinil)</t>
        </is>
      </c>
      <c r="C30" s="40" t="inlineStr">
        <is>
          <t>13</t>
        </is>
      </c>
      <c r="D30" s="40" t="n">
        <v>7</v>
      </c>
      <c r="E30" s="40" t="n">
        <v>1</v>
      </c>
      <c r="F30" s="40" t="inlineStr">
        <is>
          <t>A20, A18</t>
        </is>
      </c>
      <c r="G30" s="42" t="n">
        <v>46211</v>
      </c>
      <c r="H30" s="42" t="n">
        <v>46218</v>
      </c>
      <c r="I30" s="42" t="n">
        <v>46274</v>
      </c>
      <c r="J30" s="42" t="n">
        <v>46281</v>
      </c>
      <c r="K30" s="40" t="n">
        <v>63</v>
      </c>
      <c r="L30" s="40" t="inlineStr">
        <is>
          <t>No</t>
        </is>
      </c>
    </row>
    <row r="31" ht="28" customHeight="1">
      <c r="A31" s="40" t="inlineStr">
        <is>
          <t>A25</t>
        </is>
      </c>
      <c r="B31" s="41" t="inlineStr">
        <is>
          <t>Acabados muros Aulas (aplanados, azulejo, pintura vinilica)</t>
        </is>
      </c>
      <c r="C31" s="40" t="inlineStr">
        <is>
          <t>3</t>
        </is>
      </c>
      <c r="D31" s="40" t="n">
        <v>14</v>
      </c>
      <c r="E31" s="40" t="n">
        <v>2</v>
      </c>
      <c r="F31" s="40" t="inlineStr">
        <is>
          <t>A19</t>
        </is>
      </c>
      <c r="G31" s="42" t="n">
        <v>46246</v>
      </c>
      <c r="H31" s="42" t="n">
        <v>46260</v>
      </c>
      <c r="I31" s="42" t="n">
        <v>46267</v>
      </c>
      <c r="J31" s="42" t="n">
        <v>46281</v>
      </c>
      <c r="K31" s="40" t="n">
        <v>21</v>
      </c>
      <c r="L31" s="40" t="inlineStr">
        <is>
          <t>No</t>
        </is>
      </c>
    </row>
    <row r="32" ht="28" customHeight="1">
      <c r="A32" s="40" t="inlineStr">
        <is>
          <t>A26</t>
        </is>
      </c>
      <c r="B32" s="41" t="inlineStr">
        <is>
          <t>Acabados muros Mediateca (aplanados, azulejo, pintura vinilica)</t>
        </is>
      </c>
      <c r="C32" s="40" t="inlineStr">
        <is>
          <t>13</t>
        </is>
      </c>
      <c r="D32" s="40" t="n">
        <v>14</v>
      </c>
      <c r="E32" s="40" t="n">
        <v>2</v>
      </c>
      <c r="F32" s="40" t="inlineStr">
        <is>
          <t>A20</t>
        </is>
      </c>
      <c r="G32" s="42" t="n">
        <v>46211</v>
      </c>
      <c r="H32" s="42" t="n">
        <v>46225</v>
      </c>
      <c r="I32" s="42" t="n">
        <v>46267</v>
      </c>
      <c r="J32" s="42" t="n">
        <v>46281</v>
      </c>
      <c r="K32" s="40" t="n">
        <v>56</v>
      </c>
      <c r="L32" s="40" t="inlineStr">
        <is>
          <t>No</t>
        </is>
      </c>
    </row>
    <row r="33" ht="28" customHeight="1">
      <c r="A33" s="40" t="inlineStr">
        <is>
          <t>A27</t>
        </is>
      </c>
      <c r="B33" s="41" t="inlineStr">
        <is>
          <t>Acabados plafones Aulas (pintura vinilica)</t>
        </is>
      </c>
      <c r="C33" s="40" t="inlineStr">
        <is>
          <t>3</t>
        </is>
      </c>
      <c r="D33" s="40" t="n">
        <v>7</v>
      </c>
      <c r="E33" s="40" t="n">
        <v>1</v>
      </c>
      <c r="F33" s="40" t="inlineStr">
        <is>
          <t>A19</t>
        </is>
      </c>
      <c r="G33" s="42" t="n">
        <v>46246</v>
      </c>
      <c r="H33" s="42" t="n">
        <v>46253</v>
      </c>
      <c r="I33" s="42" t="n">
        <v>46274</v>
      </c>
      <c r="J33" s="42" t="n">
        <v>46281</v>
      </c>
      <c r="K33" s="40" t="n">
        <v>28</v>
      </c>
      <c r="L33" s="40" t="inlineStr">
        <is>
          <t>No</t>
        </is>
      </c>
    </row>
    <row r="34" ht="28" customHeight="1">
      <c r="A34" s="40" t="inlineStr">
        <is>
          <t>A28</t>
        </is>
      </c>
      <c r="B34" s="41" t="inlineStr">
        <is>
          <t>Acabados plafones Mediateca (pintura vinilica)</t>
        </is>
      </c>
      <c r="C34" s="40" t="inlineStr">
        <is>
          <t>13</t>
        </is>
      </c>
      <c r="D34" s="40" t="n">
        <v>7</v>
      </c>
      <c r="E34" s="40" t="n">
        <v>1</v>
      </c>
      <c r="F34" s="40" t="inlineStr">
        <is>
          <t>A20</t>
        </is>
      </c>
      <c r="G34" s="42" t="n">
        <v>46211</v>
      </c>
      <c r="H34" s="42" t="n">
        <v>46218</v>
      </c>
      <c r="I34" s="42" t="n">
        <v>46274</v>
      </c>
      <c r="J34" s="42" t="n">
        <v>46281</v>
      </c>
      <c r="K34" s="40" t="n">
        <v>63</v>
      </c>
      <c r="L34" s="40" t="inlineStr">
        <is>
          <t>No</t>
        </is>
      </c>
    </row>
    <row r="35" ht="28" customHeight="1">
      <c r="A35" s="40" t="inlineStr">
        <is>
          <t>A29</t>
        </is>
      </c>
      <c r="B35" s="41" t="inlineStr">
        <is>
          <t>Herrerias y Carpinterias Aulas (barandales, bancas fijas)</t>
        </is>
      </c>
      <c r="C35" s="40" t="inlineStr">
        <is>
          <t>3</t>
        </is>
      </c>
      <c r="D35" s="40" t="n">
        <v>14</v>
      </c>
      <c r="E35" s="40" t="n">
        <v>2</v>
      </c>
      <c r="F35" s="40" t="inlineStr">
        <is>
          <t>A23, A25</t>
        </is>
      </c>
      <c r="G35" s="42" t="n">
        <v>46260</v>
      </c>
      <c r="H35" s="42" t="n">
        <v>46274</v>
      </c>
      <c r="I35" s="42" t="n">
        <v>46281</v>
      </c>
      <c r="J35" s="42" t="n">
        <v>46295</v>
      </c>
      <c r="K35" s="40" t="n">
        <v>21</v>
      </c>
      <c r="L35" s="40" t="inlineStr">
        <is>
          <t>No</t>
        </is>
      </c>
    </row>
    <row r="36" ht="28" customHeight="1">
      <c r="A36" s="40" t="inlineStr">
        <is>
          <t>A30</t>
        </is>
      </c>
      <c r="B36" s="41" t="inlineStr">
        <is>
          <t>Herrerias, Carpinterias y Cancelerias Mediateca</t>
        </is>
      </c>
      <c r="C36" s="40" t="inlineStr">
        <is>
          <t>15</t>
        </is>
      </c>
      <c r="D36" s="40" t="n">
        <v>14</v>
      </c>
      <c r="E36" s="40" t="n">
        <v>2</v>
      </c>
      <c r="F36" s="40" t="inlineStr">
        <is>
          <t>A24, A26</t>
        </is>
      </c>
      <c r="G36" s="42" t="n">
        <v>46225</v>
      </c>
      <c r="H36" s="42" t="n">
        <v>46239</v>
      </c>
      <c r="I36" s="42" t="n">
        <v>46281</v>
      </c>
      <c r="J36" s="42" t="n">
        <v>46295</v>
      </c>
      <c r="K36" s="40" t="n">
        <v>56</v>
      </c>
      <c r="L36" s="40" t="inlineStr">
        <is>
          <t>No</t>
        </is>
      </c>
    </row>
    <row r="37" ht="28" customHeight="1">
      <c r="A37" s="40" t="inlineStr">
        <is>
          <t>A31</t>
        </is>
      </c>
      <c r="B37" s="41" t="inlineStr">
        <is>
          <t>Puertas y Canceles Aulas</t>
        </is>
      </c>
      <c r="C37" s="40" t="inlineStr">
        <is>
          <t>3</t>
        </is>
      </c>
      <c r="D37" s="40" t="n">
        <v>14</v>
      </c>
      <c r="E37" s="40" t="n">
        <v>2</v>
      </c>
      <c r="F37" s="40" t="inlineStr">
        <is>
          <t>A23, A25</t>
        </is>
      </c>
      <c r="G37" s="42" t="n">
        <v>46260</v>
      </c>
      <c r="H37" s="42" t="n">
        <v>46274</v>
      </c>
      <c r="I37" s="42" t="n">
        <v>46281</v>
      </c>
      <c r="J37" s="42" t="n">
        <v>46295</v>
      </c>
      <c r="K37" s="40" t="n">
        <v>21</v>
      </c>
      <c r="L37" s="40" t="inlineStr">
        <is>
          <t>No</t>
        </is>
      </c>
    </row>
    <row r="38" ht="28" customHeight="1">
      <c r="A38" s="40" t="inlineStr">
        <is>
          <t>A32</t>
        </is>
      </c>
      <c r="B38" s="41" t="inlineStr">
        <is>
          <t>Nucleos sanitarios Aulas (muebles sanitarios, mamparas, accesorios)</t>
        </is>
      </c>
      <c r="C38" s="40" t="inlineStr">
        <is>
          <t>5</t>
        </is>
      </c>
      <c r="D38" s="40" t="n">
        <v>14</v>
      </c>
      <c r="E38" s="40" t="n">
        <v>2</v>
      </c>
      <c r="F38" s="40" t="inlineStr">
        <is>
          <t>A17, A23, A25</t>
        </is>
      </c>
      <c r="G38" s="42" t="n">
        <v>46260</v>
      </c>
      <c r="H38" s="42" t="n">
        <v>46274</v>
      </c>
      <c r="I38" s="42" t="n">
        <v>46281</v>
      </c>
      <c r="J38" s="42" t="n">
        <v>46295</v>
      </c>
      <c r="K38" s="40" t="n">
        <v>21</v>
      </c>
      <c r="L38" s="40" t="inlineStr">
        <is>
          <t>No</t>
        </is>
      </c>
    </row>
    <row r="39" ht="28" customHeight="1">
      <c r="A39" s="40" t="inlineStr">
        <is>
          <t>A33</t>
        </is>
      </c>
      <c r="B39" s="41" t="inlineStr">
        <is>
          <t>Nucleos sanitarios Mediateca (muebles sanitarios, mamparas, accesorios)</t>
        </is>
      </c>
      <c r="C39" s="40" t="inlineStr">
        <is>
          <t>14</t>
        </is>
      </c>
      <c r="D39" s="40" t="n">
        <v>14</v>
      </c>
      <c r="E39" s="40" t="n">
        <v>2</v>
      </c>
      <c r="F39" s="40" t="inlineStr">
        <is>
          <t>A18, A24, A26</t>
        </is>
      </c>
      <c r="G39" s="42" t="n">
        <v>46225</v>
      </c>
      <c r="H39" s="42" t="n">
        <v>46239</v>
      </c>
      <c r="I39" s="42" t="n">
        <v>46281</v>
      </c>
      <c r="J39" s="42" t="n">
        <v>46295</v>
      </c>
      <c r="K39" s="40" t="n">
        <v>56</v>
      </c>
      <c r="L39" s="40" t="inlineStr">
        <is>
          <t>No</t>
        </is>
      </c>
    </row>
    <row r="40" ht="28" customHeight="1">
      <c r="A40" s="40" t="inlineStr">
        <is>
          <t>A34</t>
        </is>
      </c>
      <c r="B40" s="41" t="inlineStr">
        <is>
          <t>Instalacion electrica acabados Aulas (contactos, apagadores, luminarias, tableros)</t>
        </is>
      </c>
      <c r="C40" s="40" t="inlineStr">
        <is>
          <t>7</t>
        </is>
      </c>
      <c r="D40" s="40" t="n">
        <v>14</v>
      </c>
      <c r="E40" s="40" t="n">
        <v>2</v>
      </c>
      <c r="F40" s="40" t="inlineStr">
        <is>
          <t>A21, A23</t>
        </is>
      </c>
      <c r="G40" s="42" t="n">
        <v>46260</v>
      </c>
      <c r="H40" s="42" t="n">
        <v>46274</v>
      </c>
      <c r="I40" s="42" t="n">
        <v>46281</v>
      </c>
      <c r="J40" s="42" t="n">
        <v>46295</v>
      </c>
      <c r="K40" s="40" t="n">
        <v>21</v>
      </c>
      <c r="L40" s="40" t="inlineStr">
        <is>
          <t>No</t>
        </is>
      </c>
    </row>
    <row r="41" ht="28" customHeight="1">
      <c r="A41" s="40" t="inlineStr">
        <is>
          <t>A35</t>
        </is>
      </c>
      <c r="B41" s="41" t="inlineStr">
        <is>
          <t>Instalacion electrica acabados Mediateca (contactos, apagadores, luminarias, tableros)</t>
        </is>
      </c>
      <c r="C41" s="40" t="inlineStr">
        <is>
          <t>17</t>
        </is>
      </c>
      <c r="D41" s="40" t="n">
        <v>14</v>
      </c>
      <c r="E41" s="40" t="n">
        <v>2</v>
      </c>
      <c r="F41" s="40" t="inlineStr">
        <is>
          <t>A22, A24</t>
        </is>
      </c>
      <c r="G41" s="42" t="n">
        <v>46218</v>
      </c>
      <c r="H41" s="42" t="n">
        <v>46232</v>
      </c>
      <c r="I41" s="42" t="n">
        <v>46281</v>
      </c>
      <c r="J41" s="42" t="n">
        <v>46295</v>
      </c>
      <c r="K41" s="40" t="n">
        <v>63</v>
      </c>
      <c r="L41" s="40" t="inlineStr">
        <is>
          <t>No</t>
        </is>
      </c>
    </row>
    <row r="42" ht="28" customHeight="1">
      <c r="A42" s="40" t="inlineStr">
        <is>
          <t>A36</t>
        </is>
      </c>
      <c r="B42" s="41" t="inlineStr">
        <is>
          <t>Instalaciones especiales Aulas (control acceso, CCTV, voz y datos, cableado Cat6A)</t>
        </is>
      </c>
      <c r="C42" s="40" t="inlineStr">
        <is>
          <t>8</t>
        </is>
      </c>
      <c r="D42" s="40" t="n">
        <v>21</v>
      </c>
      <c r="E42" s="40" t="n">
        <v>3</v>
      </c>
      <c r="F42" s="40" t="inlineStr">
        <is>
          <t>A21, A23</t>
        </is>
      </c>
      <c r="G42" s="42" t="n">
        <v>46260</v>
      </c>
      <c r="H42" s="42" t="n">
        <v>46281</v>
      </c>
      <c r="I42" s="42" t="n">
        <v>46274</v>
      </c>
      <c r="J42" s="42" t="n">
        <v>46295</v>
      </c>
      <c r="K42" s="40" t="n">
        <v>14</v>
      </c>
      <c r="L42" s="40" t="inlineStr">
        <is>
          <t>No</t>
        </is>
      </c>
    </row>
    <row r="43" ht="28" customHeight="1">
      <c r="A43" s="40" t="inlineStr">
        <is>
          <t>A37</t>
        </is>
      </c>
      <c r="B43" s="41" t="inlineStr">
        <is>
          <t>Instalaciones especiales Mediateca (control acceso, CCTV, PCI, voz y datos)</t>
        </is>
      </c>
      <c r="C43" s="40" t="inlineStr">
        <is>
          <t>18,19</t>
        </is>
      </c>
      <c r="D43" s="40" t="n">
        <v>14</v>
      </c>
      <c r="E43" s="40" t="n">
        <v>2</v>
      </c>
      <c r="F43" s="40" t="inlineStr">
        <is>
          <t>A22, A24</t>
        </is>
      </c>
      <c r="G43" s="42" t="n">
        <v>46218</v>
      </c>
      <c r="H43" s="42" t="n">
        <v>46232</v>
      </c>
      <c r="I43" s="42" t="n">
        <v>46281</v>
      </c>
      <c r="J43" s="42" t="n">
        <v>46295</v>
      </c>
      <c r="K43" s="40" t="n">
        <v>63</v>
      </c>
      <c r="L43" s="40" t="inlineStr">
        <is>
          <t>No</t>
        </is>
      </c>
    </row>
    <row r="44" ht="28" customHeight="1">
      <c r="A44" s="40" t="inlineStr">
        <is>
          <t>A38</t>
        </is>
      </c>
      <c r="B44" s="41" t="inlineStr">
        <is>
          <t>AA equipos Aulas (evaporadora, condensadora, puesta en marcha)</t>
        </is>
      </c>
      <c r="C44" s="40" t="inlineStr">
        <is>
          <t>9</t>
        </is>
      </c>
      <c r="D44" s="40" t="n">
        <v>14</v>
      </c>
      <c r="E44" s="40" t="n">
        <v>2</v>
      </c>
      <c r="F44" s="40" t="inlineStr">
        <is>
          <t>A19, A27</t>
        </is>
      </c>
      <c r="G44" s="42" t="n">
        <v>46253</v>
      </c>
      <c r="H44" s="42" t="n">
        <v>46267</v>
      </c>
      <c r="I44" s="42" t="n">
        <v>46281</v>
      </c>
      <c r="J44" s="42" t="n">
        <v>46295</v>
      </c>
      <c r="K44" s="40" t="n">
        <v>28</v>
      </c>
      <c r="L44" s="40" t="inlineStr">
        <is>
          <t>No</t>
        </is>
      </c>
    </row>
    <row r="45" ht="28" customHeight="1">
      <c r="A45" s="40" t="inlineStr">
        <is>
          <t>A39</t>
        </is>
      </c>
      <c r="B45" s="41" t="inlineStr">
        <is>
          <t>AA equipos Mediateca (VRF, splits, puesta en marcha)</t>
        </is>
      </c>
      <c r="C45" s="40" t="inlineStr">
        <is>
          <t>20</t>
        </is>
      </c>
      <c r="D45" s="40" t="n">
        <v>14</v>
      </c>
      <c r="E45" s="40" t="n">
        <v>2</v>
      </c>
      <c r="F45" s="40" t="inlineStr">
        <is>
          <t>A20, A28</t>
        </is>
      </c>
      <c r="G45" s="42" t="n">
        <v>46218</v>
      </c>
      <c r="H45" s="42" t="n">
        <v>46232</v>
      </c>
      <c r="I45" s="42" t="n">
        <v>46281</v>
      </c>
      <c r="J45" s="42" t="n">
        <v>46295</v>
      </c>
      <c r="K45" s="40" t="n">
        <v>63</v>
      </c>
      <c r="L45" s="40" t="inlineStr">
        <is>
          <t>No</t>
        </is>
      </c>
    </row>
    <row r="46" ht="28" customHeight="1">
      <c r="A46" s="40" t="inlineStr">
        <is>
          <t>A40</t>
        </is>
      </c>
      <c r="B46" s="41" t="inlineStr">
        <is>
          <t>Deteccion de humos equipos (detectores, estaciones, alarmas) ambas zonas</t>
        </is>
      </c>
      <c r="C46" s="40" t="inlineStr">
        <is>
          <t>10,21</t>
        </is>
      </c>
      <c r="D46" s="40" t="n">
        <v>14</v>
      </c>
      <c r="E46" s="40" t="n">
        <v>2</v>
      </c>
      <c r="F46" s="40" t="inlineStr">
        <is>
          <t>A19, A20, A27, A28</t>
        </is>
      </c>
      <c r="G46" s="42" t="n">
        <v>46253</v>
      </c>
      <c r="H46" s="42" t="n">
        <v>46267</v>
      </c>
      <c r="I46" s="42" t="n">
        <v>46281</v>
      </c>
      <c r="J46" s="42" t="n">
        <v>46295</v>
      </c>
      <c r="K46" s="40" t="n">
        <v>28</v>
      </c>
      <c r="L46" s="40" t="inlineStr">
        <is>
          <t>No</t>
        </is>
      </c>
    </row>
    <row r="47" ht="28" customHeight="1">
      <c r="A47" s="40" t="inlineStr">
        <is>
          <t>A41</t>
        </is>
      </c>
      <c r="B47" s="41" t="inlineStr">
        <is>
          <t>Pruebas y puesta en marcha (todas las instalaciones, ambas zonas)</t>
        </is>
      </c>
      <c r="C47" s="40" t="inlineStr">
        <is>
          <t>Todas</t>
        </is>
      </c>
      <c r="D47" s="40" t="n">
        <v>7</v>
      </c>
      <c r="E47" s="40" t="n">
        <v>1</v>
      </c>
      <c r="F47" s="40" t="inlineStr">
        <is>
          <t>A29, A30, A31, A32, A33, A34, A35, A36, A37, A38, A39, A40</t>
        </is>
      </c>
      <c r="G47" s="42" t="n">
        <v>46281</v>
      </c>
      <c r="H47" s="42" t="n">
        <v>46288</v>
      </c>
      <c r="I47" s="42" t="n">
        <v>46295</v>
      </c>
      <c r="J47" s="42" t="n">
        <v>46302</v>
      </c>
      <c r="K47" s="40" t="n">
        <v>14</v>
      </c>
      <c r="L47" s="40" t="inlineStr">
        <is>
          <t>No</t>
        </is>
      </c>
    </row>
    <row r="48" ht="28" customHeight="1">
      <c r="A48" s="34" t="inlineStr">
        <is>
          <t>A42</t>
        </is>
      </c>
      <c r="B48" s="35" t="inlineStr">
        <is>
          <t>Limpieza gruesa (continua durante toda la obra)</t>
        </is>
      </c>
      <c r="C48" s="34" t="inlineStr">
        <is>
          <t>4</t>
        </is>
      </c>
      <c r="D48" s="34" t="n">
        <v>154</v>
      </c>
      <c r="E48" s="34" t="n">
        <v>22</v>
      </c>
      <c r="F48" s="34" t="inlineStr">
        <is>
          <t>Continua</t>
        </is>
      </c>
      <c r="G48" s="36" t="n">
        <v>46155</v>
      </c>
      <c r="H48" s="36" t="n">
        <v>46309</v>
      </c>
      <c r="I48" s="36" t="n">
        <v>46155</v>
      </c>
      <c r="J48" s="36" t="n">
        <v>46309</v>
      </c>
      <c r="K48" s="34" t="n">
        <v>0</v>
      </c>
      <c r="L48" s="34" t="inlineStr">
        <is>
          <t>SÍ</t>
        </is>
      </c>
    </row>
    <row r="49" ht="28" customHeight="1">
      <c r="A49" s="40" t="inlineStr">
        <is>
          <t>A43</t>
        </is>
      </c>
      <c r="B49" s="41" t="inlineStr">
        <is>
          <t>Limpieza fina para entrega</t>
        </is>
      </c>
      <c r="C49" s="40" t="inlineStr">
        <is>
          <t>4</t>
        </is>
      </c>
      <c r="D49" s="40" t="n">
        <v>7</v>
      </c>
      <c r="E49" s="40" t="n">
        <v>1</v>
      </c>
      <c r="F49" s="40" t="inlineStr">
        <is>
          <t>A41</t>
        </is>
      </c>
      <c r="G49" s="42" t="n">
        <v>46288</v>
      </c>
      <c r="H49" s="42" t="n">
        <v>46295</v>
      </c>
      <c r="I49" s="42" t="n">
        <v>46302</v>
      </c>
      <c r="J49" s="42" t="n">
        <v>46309</v>
      </c>
      <c r="K49" s="40" t="n">
        <v>14</v>
      </c>
      <c r="L49" s="40" t="inlineStr">
        <is>
          <t>No</t>
        </is>
      </c>
    </row>
    <row r="50"/>
    <row r="51"/>
    <row r="52">
      <c r="A52" s="12" t="inlineStr">
        <is>
          <t>LEYENDA:</t>
        </is>
      </c>
    </row>
    <row r="53">
      <c r="A53" s="13" t="inlineStr"/>
      <c r="B53" s="14" t="inlineStr">
        <is>
          <t>Actividades en ROJO = Ruta Critica (holgura = 0 dias)</t>
        </is>
      </c>
    </row>
    <row r="54">
      <c r="B54" s="15" t="inlineStr">
        <is>
          <t>ES = Early Start (Inicio Temprano) | EF = Early Finish (Fin Temprano)</t>
        </is>
      </c>
    </row>
    <row r="55">
      <c r="B55" s="15" t="inlineStr">
        <is>
          <t>LS = Late Start (Inicio Tardio) | LF = Late Finish (Fin Tardio)</t>
        </is>
      </c>
    </row>
    <row r="56">
      <c r="B56" s="15" t="inlineStr">
        <is>
          <t>Holgura = LS - ES (dias de margen antes de afectar la fecha de termino)</t>
        </is>
      </c>
    </row>
    <row r="57">
      <c r="B57" s="16" t="inlineStr">
        <is>
          <t>Se trabajan 7 dias/semana (turnos dobles/triples, fines de semana y festivos)</t>
        </is>
      </c>
    </row>
  </sheetData>
  <mergeCells count="5">
    <mergeCell ref="A4:K4"/>
    <mergeCell ref="A3:K3"/>
    <mergeCell ref="A2:K2"/>
    <mergeCell ref="A52:D52"/>
    <mergeCell ref="A1:K1"/>
  </mergeCell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AB53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5" customWidth="1" min="2" max="2"/>
    <col width="10" customWidth="1" min="3" max="3"/>
    <col width="7" customWidth="1" min="4" max="4"/>
    <col width="12" customWidth="1" min="5" max="5"/>
    <col width="12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</cols>
  <sheetData>
    <row r="1" ht="35" customHeight="1">
      <c r="A1" s="1" t="inlineStr">
        <is>
          <t>DIAGRAMA PERT - Licitacion UAM.JA.RG.LP.03.2026 - PROGRAMA RESUMEN (GANTT)</t>
        </is>
      </c>
    </row>
    <row r="2" ht="25" customHeight="1">
      <c r="A2" s="2" t="inlineStr">
        <is>
          <t>Habilitacion del primer nivel del edificio "F" de la Unidad Lerma</t>
        </is>
      </c>
    </row>
    <row r="3" ht="22" customHeight="1">
      <c r="G3" s="17" t="inlineStr">
        <is>
          <t>MES 1 (May-Jun)</t>
        </is>
      </c>
      <c r="H3" s="38" t="n"/>
      <c r="I3" s="38" t="n"/>
      <c r="J3" s="39" t="n"/>
      <c r="K3" s="17" t="inlineStr">
        <is>
          <t>MES 2 (Jun-Jul)</t>
        </is>
      </c>
      <c r="L3" s="38" t="n"/>
      <c r="M3" s="38" t="n"/>
      <c r="N3" s="38" t="n"/>
      <c r="O3" s="39" t="n"/>
      <c r="P3" s="17" t="inlineStr">
        <is>
          <t>MES 3 (Jul-Ago)</t>
        </is>
      </c>
      <c r="Q3" s="38" t="n"/>
      <c r="R3" s="38" t="n"/>
      <c r="S3" s="39" t="n"/>
      <c r="T3" s="17" t="inlineStr">
        <is>
          <t>MES 4 (Ago-Sep)</t>
        </is>
      </c>
      <c r="U3" s="38" t="n"/>
      <c r="V3" s="38" t="n"/>
      <c r="W3" s="38" t="n"/>
      <c r="X3" s="39" t="n"/>
      <c r="Y3" s="17" t="inlineStr">
        <is>
          <t>MES 5 (Sep-Oct)</t>
        </is>
      </c>
      <c r="Z3" s="38" t="n"/>
      <c r="AA3" s="38" t="n"/>
      <c r="AB3" s="39" t="n"/>
    </row>
    <row r="4" ht="35" customHeight="1">
      <c r="A4" s="5" t="inlineStr">
        <is>
          <t>ID</t>
        </is>
      </c>
      <c r="B4" s="5" t="inlineStr">
        <is>
          <t>Actividad</t>
        </is>
      </c>
      <c r="C4" s="5" t="inlineStr">
        <is>
          <t>Partida(s)</t>
        </is>
      </c>
      <c r="D4" s="5" t="inlineStr">
        <is>
          <t>Dur.
(sem)</t>
        </is>
      </c>
      <c r="E4" s="5" t="inlineStr">
        <is>
          <t>Inicio</t>
        </is>
      </c>
      <c r="F4" s="5" t="inlineStr">
        <is>
          <t>Fin</t>
        </is>
      </c>
      <c r="G4" s="5" t="inlineStr">
        <is>
          <t>S1
13/05</t>
        </is>
      </c>
      <c r="H4" s="5" t="inlineStr">
        <is>
          <t>S2
20/05</t>
        </is>
      </c>
      <c r="I4" s="5" t="inlineStr">
        <is>
          <t>S3
27/05</t>
        </is>
      </c>
      <c r="J4" s="5" t="inlineStr">
        <is>
          <t>S4
03/06</t>
        </is>
      </c>
      <c r="K4" s="5" t="inlineStr">
        <is>
          <t>S5
10/06</t>
        </is>
      </c>
      <c r="L4" s="5" t="inlineStr">
        <is>
          <t>S6
17/06</t>
        </is>
      </c>
      <c r="M4" s="5" t="inlineStr">
        <is>
          <t>S7
24/06</t>
        </is>
      </c>
      <c r="N4" s="5" t="inlineStr">
        <is>
          <t>S8
01/07</t>
        </is>
      </c>
      <c r="O4" s="5" t="inlineStr">
        <is>
          <t>S9
08/07</t>
        </is>
      </c>
      <c r="P4" s="5" t="inlineStr">
        <is>
          <t>S10
15/07</t>
        </is>
      </c>
      <c r="Q4" s="5" t="inlineStr">
        <is>
          <t>S11
22/07</t>
        </is>
      </c>
      <c r="R4" s="5" t="inlineStr">
        <is>
          <t>S12
29/07</t>
        </is>
      </c>
      <c r="S4" s="5" t="inlineStr">
        <is>
          <t>S13
05/08</t>
        </is>
      </c>
      <c r="T4" s="5" t="inlineStr">
        <is>
          <t>S14
12/08</t>
        </is>
      </c>
      <c r="U4" s="5" t="inlineStr">
        <is>
          <t>S15
19/08</t>
        </is>
      </c>
      <c r="V4" s="5" t="inlineStr">
        <is>
          <t>S16
26/08</t>
        </is>
      </c>
      <c r="W4" s="5" t="inlineStr">
        <is>
          <t>S17
02/09</t>
        </is>
      </c>
      <c r="X4" s="5" t="inlineStr">
        <is>
          <t>S18
09/09</t>
        </is>
      </c>
      <c r="Y4" s="5" t="inlineStr">
        <is>
          <t>S19
16/09</t>
        </is>
      </c>
      <c r="Z4" s="5" t="inlineStr">
        <is>
          <t>S20
23/09</t>
        </is>
      </c>
      <c r="AA4" s="5" t="inlineStr">
        <is>
          <t>S21
30/09</t>
        </is>
      </c>
      <c r="AB4" s="5" t="inlineStr">
        <is>
          <t>S22
07/10</t>
        </is>
      </c>
    </row>
    <row r="5" ht="22" customHeight="1">
      <c r="A5" s="6" t="inlineStr">
        <is>
          <t>A1</t>
        </is>
      </c>
      <c r="B5" s="7" t="inlineStr">
        <is>
          <t>Preliminares Aulas (trazo, protecciones, limpieza inicial)</t>
        </is>
      </c>
      <c r="C5" s="6" t="inlineStr">
        <is>
          <t>1</t>
        </is>
      </c>
      <c r="D5" s="6" t="n">
        <v>1</v>
      </c>
      <c r="E5" s="6" t="inlineStr">
        <is>
          <t>13/05/2026</t>
        </is>
      </c>
      <c r="F5" s="6" t="inlineStr">
        <is>
          <t>20/05/2026</t>
        </is>
      </c>
      <c r="G5" s="5" t="inlineStr">
        <is>
          <t>X</t>
        </is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</row>
    <row r="6" ht="22" customHeight="1">
      <c r="A6" s="19" t="inlineStr">
        <is>
          <t>A2</t>
        </is>
      </c>
      <c r="B6" s="20" t="inlineStr">
        <is>
          <t>Preliminares Mediateca (desmantelamientos, acarreos, trazo)</t>
        </is>
      </c>
      <c r="C6" s="19" t="inlineStr">
        <is>
          <t>11</t>
        </is>
      </c>
      <c r="D6" s="19" t="n">
        <v>2</v>
      </c>
      <c r="E6" s="19" t="inlineStr">
        <is>
          <t>13/05/2026</t>
        </is>
      </c>
      <c r="F6" s="19" t="inlineStr">
        <is>
          <t>27/05/2026</t>
        </is>
      </c>
      <c r="G6" s="21" t="inlineStr">
        <is>
          <t>X</t>
        </is>
      </c>
      <c r="H6" s="21" t="inlineStr">
        <is>
          <t>X</t>
        </is>
      </c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</row>
    <row r="7" ht="22" customHeight="1">
      <c r="A7" s="6" t="inlineStr">
        <is>
          <t>A3</t>
        </is>
      </c>
      <c r="B7" s="7" t="inlineStr">
        <is>
          <t>Albanileria: Firmes Aulas</t>
        </is>
      </c>
      <c r="C7" s="6" t="inlineStr">
        <is>
          <t>2</t>
        </is>
      </c>
      <c r="D7" s="6" t="n">
        <v>3</v>
      </c>
      <c r="E7" s="6" t="inlineStr">
        <is>
          <t>20/05/2026</t>
        </is>
      </c>
      <c r="F7" s="6" t="inlineStr">
        <is>
          <t>10/06/2026</t>
        </is>
      </c>
      <c r="G7" s="18" t="n"/>
      <c r="H7" s="5" t="inlineStr">
        <is>
          <t>X</t>
        </is>
      </c>
      <c r="I7" s="5" t="inlineStr">
        <is>
          <t>X</t>
        </is>
      </c>
      <c r="J7" s="5" t="inlineStr">
        <is>
          <t>X</t>
        </is>
      </c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</row>
    <row r="8" ht="22" customHeight="1">
      <c r="A8" s="19" t="inlineStr">
        <is>
          <t>A4</t>
        </is>
      </c>
      <c r="B8" s="20" t="inlineStr">
        <is>
          <t>Albanileria: Firmes Mediateca</t>
        </is>
      </c>
      <c r="C8" s="19" t="inlineStr">
        <is>
          <t>12</t>
        </is>
      </c>
      <c r="D8" s="19" t="n">
        <v>3</v>
      </c>
      <c r="E8" s="19" t="inlineStr">
        <is>
          <t>27/05/2026</t>
        </is>
      </c>
      <c r="F8" s="19" t="inlineStr">
        <is>
          <t>17/06/2026</t>
        </is>
      </c>
      <c r="G8" s="22" t="n"/>
      <c r="H8" s="22" t="n"/>
      <c r="I8" s="21" t="inlineStr">
        <is>
          <t>X</t>
        </is>
      </c>
      <c r="J8" s="21" t="inlineStr">
        <is>
          <t>X</t>
        </is>
      </c>
      <c r="K8" s="21" t="inlineStr">
        <is>
          <t>X</t>
        </is>
      </c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</row>
    <row r="9" ht="22" customHeight="1">
      <c r="A9" s="6" t="inlineStr">
        <is>
          <t>A5</t>
        </is>
      </c>
      <c r="B9" s="7" t="inlineStr">
        <is>
          <t>Albanileria: Muros Block y Tablaroca Aulas</t>
        </is>
      </c>
      <c r="C9" s="6" t="inlineStr">
        <is>
          <t>2</t>
        </is>
      </c>
      <c r="D9" s="6" t="n">
        <v>4</v>
      </c>
      <c r="E9" s="6" t="inlineStr">
        <is>
          <t>10/06/2026</t>
        </is>
      </c>
      <c r="F9" s="6" t="inlineStr">
        <is>
          <t>08/07/2026</t>
        </is>
      </c>
      <c r="G9" s="18" t="n"/>
      <c r="H9" s="18" t="n"/>
      <c r="I9" s="18" t="n"/>
      <c r="J9" s="18" t="n"/>
      <c r="K9" s="5" t="inlineStr">
        <is>
          <t>X</t>
        </is>
      </c>
      <c r="L9" s="5" t="inlineStr">
        <is>
          <t>X</t>
        </is>
      </c>
      <c r="M9" s="5" t="inlineStr">
        <is>
          <t>X</t>
        </is>
      </c>
      <c r="N9" s="5" t="inlineStr">
        <is>
          <t>X</t>
        </is>
      </c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</row>
    <row r="10" ht="22" customHeight="1">
      <c r="A10" s="19" t="inlineStr">
        <is>
          <t>A6</t>
        </is>
      </c>
      <c r="B10" s="20" t="inlineStr">
        <is>
          <t>Albanileria: Muros Block y Tablaroca Mediateca</t>
        </is>
      </c>
      <c r="C10" s="19" t="inlineStr">
        <is>
          <t>12</t>
        </is>
      </c>
      <c r="D10" s="19" t="n">
        <v>4</v>
      </c>
      <c r="E10" s="19" t="inlineStr">
        <is>
          <t>17/06/2026</t>
        </is>
      </c>
      <c r="F10" s="19" t="inlineStr">
        <is>
          <t>15/07/2026</t>
        </is>
      </c>
      <c r="G10" s="22" t="n"/>
      <c r="H10" s="22" t="n"/>
      <c r="I10" s="22" t="n"/>
      <c r="J10" s="22" t="n"/>
      <c r="K10" s="22" t="n"/>
      <c r="L10" s="21" t="inlineStr">
        <is>
          <t>X</t>
        </is>
      </c>
      <c r="M10" s="21" t="inlineStr">
        <is>
          <t>X</t>
        </is>
      </c>
      <c r="N10" s="21" t="inlineStr">
        <is>
          <t>X</t>
        </is>
      </c>
      <c r="O10" s="21" t="inlineStr">
        <is>
          <t>X</t>
        </is>
      </c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</row>
    <row r="11" ht="22" customHeight="1">
      <c r="A11" s="6" t="inlineStr">
        <is>
          <t>A7</t>
        </is>
      </c>
      <c r="B11" s="7" t="inlineStr">
        <is>
          <t>Castillos y Dalas Aulas</t>
        </is>
      </c>
      <c r="C11" s="6" t="inlineStr">
        <is>
          <t>2</t>
        </is>
      </c>
      <c r="D11" s="6" t="n">
        <v>2</v>
      </c>
      <c r="E11" s="6" t="inlineStr">
        <is>
          <t>08/07/2026</t>
        </is>
      </c>
      <c r="F11" s="6" t="inlineStr">
        <is>
          <t>22/07/2026</t>
        </is>
      </c>
      <c r="G11" s="18" t="n"/>
      <c r="H11" s="18" t="n"/>
      <c r="I11" s="18" t="n"/>
      <c r="J11" s="18" t="n"/>
      <c r="K11" s="18" t="n"/>
      <c r="L11" s="18" t="n"/>
      <c r="M11" s="18" t="n"/>
      <c r="N11" s="18" t="n"/>
      <c r="O11" s="5" t="inlineStr">
        <is>
          <t>X</t>
        </is>
      </c>
      <c r="P11" s="5" t="inlineStr">
        <is>
          <t>X</t>
        </is>
      </c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</row>
    <row r="12" ht="22" customHeight="1">
      <c r="A12" s="19" t="inlineStr">
        <is>
          <t>A8</t>
        </is>
      </c>
      <c r="B12" s="20" t="inlineStr">
        <is>
          <t>Castillos y Dalas Mediateca</t>
        </is>
      </c>
      <c r="C12" s="19" t="inlineStr">
        <is>
          <t>12</t>
        </is>
      </c>
      <c r="D12" s="19" t="n">
        <v>2</v>
      </c>
      <c r="E12" s="19" t="inlineStr">
        <is>
          <t>15/07/2026</t>
        </is>
      </c>
      <c r="F12" s="19" t="inlineStr">
        <is>
          <t>29/07/2026</t>
        </is>
      </c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1" t="inlineStr">
        <is>
          <t>X</t>
        </is>
      </c>
      <c r="Q12" s="21" t="inlineStr">
        <is>
          <t>X</t>
        </is>
      </c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</row>
    <row r="13" ht="22" customHeight="1">
      <c r="A13" s="6" t="inlineStr">
        <is>
          <t>A9</t>
        </is>
      </c>
      <c r="B13" s="7" t="inlineStr">
        <is>
          <t>Instalacion Hidrosanitaria oculta Aulas</t>
        </is>
      </c>
      <c r="C13" s="6" t="inlineStr">
        <is>
          <t>6</t>
        </is>
      </c>
      <c r="D13" s="6" t="n">
        <v>3</v>
      </c>
      <c r="E13" s="6" t="inlineStr">
        <is>
          <t>22/07/2026</t>
        </is>
      </c>
      <c r="F13" s="6" t="inlineStr">
        <is>
          <t>12/08/2026</t>
        </is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5" t="inlineStr">
        <is>
          <t>X</t>
        </is>
      </c>
      <c r="R13" s="5" t="inlineStr">
        <is>
          <t>X</t>
        </is>
      </c>
      <c r="S13" s="5" t="inlineStr">
        <is>
          <t>X</t>
        </is>
      </c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</row>
    <row r="14" ht="22" customHeight="1">
      <c r="A14" s="10" t="inlineStr">
        <is>
          <t>A10</t>
        </is>
      </c>
      <c r="B14" s="11" t="inlineStr">
        <is>
          <t>Instalacion Hidrosanitaria oculta Mediateca</t>
        </is>
      </c>
      <c r="C14" s="10" t="inlineStr">
        <is>
          <t>16</t>
        </is>
      </c>
      <c r="D14" s="10" t="n">
        <v>3</v>
      </c>
      <c r="E14" s="10" t="inlineStr">
        <is>
          <t>29/07/2026</t>
        </is>
      </c>
      <c r="F14" s="10" t="inlineStr">
        <is>
          <t>19/08/2026</t>
        </is>
      </c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5" t="inlineStr">
        <is>
          <t>X</t>
        </is>
      </c>
      <c r="S14" s="5" t="inlineStr">
        <is>
          <t>X</t>
        </is>
      </c>
      <c r="T14" s="5" t="inlineStr">
        <is>
          <t>X</t>
        </is>
      </c>
      <c r="U14" s="22" t="n"/>
      <c r="V14" s="22" t="n"/>
      <c r="W14" s="22" t="n"/>
      <c r="X14" s="22" t="n"/>
      <c r="Y14" s="22" t="n"/>
      <c r="Z14" s="22" t="n"/>
      <c r="AA14" s="22" t="n"/>
      <c r="AB14" s="22" t="n"/>
    </row>
    <row r="15" ht="22" customHeight="1">
      <c r="A15" s="6" t="inlineStr">
        <is>
          <t>A11</t>
        </is>
      </c>
      <c r="B15" s="7" t="inlineStr">
        <is>
          <t>Instalacion Electrica oculta Aulas (tuberia conduit, cajas, registros)</t>
        </is>
      </c>
      <c r="C15" s="6" t="inlineStr">
        <is>
          <t>7</t>
        </is>
      </c>
      <c r="D15" s="6" t="n">
        <v>4</v>
      </c>
      <c r="E15" s="6" t="inlineStr">
        <is>
          <t>22/07/2026</t>
        </is>
      </c>
      <c r="F15" s="6" t="inlineStr">
        <is>
          <t>19/08/2026</t>
        </is>
      </c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5" t="inlineStr">
        <is>
          <t>X</t>
        </is>
      </c>
      <c r="R15" s="5" t="inlineStr">
        <is>
          <t>X</t>
        </is>
      </c>
      <c r="S15" s="5" t="inlineStr">
        <is>
          <t>X</t>
        </is>
      </c>
      <c r="T15" s="5" t="inlineStr">
        <is>
          <t>X</t>
        </is>
      </c>
      <c r="U15" s="18" t="n"/>
      <c r="V15" s="18" t="n"/>
      <c r="W15" s="18" t="n"/>
      <c r="X15" s="18" t="n"/>
      <c r="Y15" s="18" t="n"/>
      <c r="Z15" s="18" t="n"/>
      <c r="AA15" s="18" t="n"/>
      <c r="AB15" s="18" t="n"/>
    </row>
    <row r="16" ht="22" customHeight="1">
      <c r="A16" s="19" t="inlineStr">
        <is>
          <t>A12</t>
        </is>
      </c>
      <c r="B16" s="20" t="inlineStr">
        <is>
          <t>Instalacion Electrica oculta Mediateca (tuberia conduit, cajas, registros)</t>
        </is>
      </c>
      <c r="C16" s="19" t="inlineStr">
        <is>
          <t>7,17</t>
        </is>
      </c>
      <c r="D16" s="19" t="n">
        <v>4</v>
      </c>
      <c r="E16" s="19" t="inlineStr">
        <is>
          <t>29/07/2026</t>
        </is>
      </c>
      <c r="F16" s="19" t="inlineStr">
        <is>
          <t>26/08/2026</t>
        </is>
      </c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1" t="inlineStr">
        <is>
          <t>X</t>
        </is>
      </c>
      <c r="S16" s="21" t="inlineStr">
        <is>
          <t>X</t>
        </is>
      </c>
      <c r="T16" s="21" t="inlineStr">
        <is>
          <t>X</t>
        </is>
      </c>
      <c r="U16" s="21" t="inlineStr">
        <is>
          <t>X</t>
        </is>
      </c>
      <c r="V16" s="22" t="n"/>
      <c r="W16" s="22" t="n"/>
      <c r="X16" s="22" t="n"/>
      <c r="Y16" s="22" t="n"/>
      <c r="Z16" s="22" t="n"/>
      <c r="AA16" s="22" t="n"/>
      <c r="AB16" s="22" t="n"/>
    </row>
    <row r="17" ht="22" customHeight="1">
      <c r="A17" s="6" t="inlineStr">
        <is>
          <t>A13</t>
        </is>
      </c>
      <c r="B17" s="7" t="inlineStr">
        <is>
          <t>Aire Acondicionado Aulas (tuberia refrigeracion, ductos)</t>
        </is>
      </c>
      <c r="C17" s="6" t="inlineStr">
        <is>
          <t>9</t>
        </is>
      </c>
      <c r="D17" s="6" t="n">
        <v>3</v>
      </c>
      <c r="E17" s="6" t="inlineStr">
        <is>
          <t>22/07/2026</t>
        </is>
      </c>
      <c r="F17" s="6" t="inlineStr">
        <is>
          <t>12/08/2026</t>
        </is>
      </c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5" t="inlineStr">
        <is>
          <t>X</t>
        </is>
      </c>
      <c r="R17" s="5" t="inlineStr">
        <is>
          <t>X</t>
        </is>
      </c>
      <c r="S17" s="5" t="inlineStr">
        <is>
          <t>X</t>
        </is>
      </c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</row>
    <row r="18" ht="22" customHeight="1">
      <c r="A18" s="19" t="inlineStr">
        <is>
          <t>A14</t>
        </is>
      </c>
      <c r="B18" s="20" t="inlineStr">
        <is>
          <t>Aire Acondicionado Mediateca (sistema VRF, tuberia refrigeracion)</t>
        </is>
      </c>
      <c r="C18" s="19" t="inlineStr">
        <is>
          <t>20</t>
        </is>
      </c>
      <c r="D18" s="19" t="n">
        <v>4</v>
      </c>
      <c r="E18" s="19" t="inlineStr">
        <is>
          <t>29/07/2026</t>
        </is>
      </c>
      <c r="F18" s="19" t="inlineStr">
        <is>
          <t>26/08/2026</t>
        </is>
      </c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1" t="inlineStr">
        <is>
          <t>X</t>
        </is>
      </c>
      <c r="S18" s="21" t="inlineStr">
        <is>
          <t>X</t>
        </is>
      </c>
      <c r="T18" s="21" t="inlineStr">
        <is>
          <t>X</t>
        </is>
      </c>
      <c r="U18" s="21" t="inlineStr">
        <is>
          <t>X</t>
        </is>
      </c>
      <c r="V18" s="22" t="n"/>
      <c r="W18" s="22" t="n"/>
      <c r="X18" s="22" t="n"/>
      <c r="Y18" s="22" t="n"/>
      <c r="Z18" s="22" t="n"/>
      <c r="AA18" s="22" t="n"/>
      <c r="AB18" s="22" t="n"/>
    </row>
    <row r="19" ht="22" customHeight="1">
      <c r="A19" s="6" t="inlineStr">
        <is>
          <t>A15</t>
        </is>
      </c>
      <c r="B19" s="7" t="inlineStr">
        <is>
          <t>Deteccion de Humos Aulas (tuberia y cableado oculto)</t>
        </is>
      </c>
      <c r="C19" s="6" t="inlineStr">
        <is>
          <t>10</t>
        </is>
      </c>
      <c r="D19" s="6" t="n">
        <v>2</v>
      </c>
      <c r="E19" s="6" t="inlineStr">
        <is>
          <t>22/07/2026</t>
        </is>
      </c>
      <c r="F19" s="6" t="inlineStr">
        <is>
          <t>05/08/2026</t>
        </is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5" t="inlineStr">
        <is>
          <t>X</t>
        </is>
      </c>
      <c r="R19" s="5" t="inlineStr">
        <is>
          <t>X</t>
        </is>
      </c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</row>
    <row r="20" ht="22" customHeight="1">
      <c r="A20" s="10" t="inlineStr">
        <is>
          <t>A16</t>
        </is>
      </c>
      <c r="B20" s="11" t="inlineStr">
        <is>
          <t>Deteccion de Humos Mediateca (tuberia y cableado oculto)</t>
        </is>
      </c>
      <c r="C20" s="10" t="inlineStr">
        <is>
          <t>21</t>
        </is>
      </c>
      <c r="D20" s="10" t="n">
        <v>2</v>
      </c>
      <c r="E20" s="10" t="inlineStr">
        <is>
          <t>29/07/2026</t>
        </is>
      </c>
      <c r="F20" s="10" t="inlineStr">
        <is>
          <t>12/08/2026</t>
        </is>
      </c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5" t="inlineStr">
        <is>
          <t>X</t>
        </is>
      </c>
      <c r="S20" s="5" t="inlineStr">
        <is>
          <t>X</t>
        </is>
      </c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</row>
    <row r="21" ht="22" customHeight="1">
      <c r="A21" s="6" t="inlineStr">
        <is>
          <t>A17</t>
        </is>
      </c>
      <c r="B21" s="7" t="inlineStr">
        <is>
          <t>Impermeabilizacion charolas sanitarios Aulas</t>
        </is>
      </c>
      <c r="C21" s="6" t="inlineStr">
        <is>
          <t>2</t>
        </is>
      </c>
      <c r="D21" s="6" t="n">
        <v>1</v>
      </c>
      <c r="E21" s="6" t="inlineStr">
        <is>
          <t>12/08/2026</t>
        </is>
      </c>
      <c r="F21" s="6" t="inlineStr">
        <is>
          <t>19/08/2026</t>
        </is>
      </c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5" t="inlineStr">
        <is>
          <t>X</t>
        </is>
      </c>
      <c r="U21" s="18" t="n"/>
      <c r="V21" s="18" t="n"/>
      <c r="W21" s="18" t="n"/>
      <c r="X21" s="18" t="n"/>
      <c r="Y21" s="18" t="n"/>
      <c r="Z21" s="18" t="n"/>
      <c r="AA21" s="18" t="n"/>
      <c r="AB21" s="18" t="n"/>
    </row>
    <row r="22" ht="22" customHeight="1">
      <c r="A22" s="10" t="inlineStr">
        <is>
          <t>A18</t>
        </is>
      </c>
      <c r="B22" s="11" t="inlineStr">
        <is>
          <t>Impermeabilizacion charolas sanitarios Mediateca</t>
        </is>
      </c>
      <c r="C22" s="10" t="inlineStr">
        <is>
          <t>12</t>
        </is>
      </c>
      <c r="D22" s="10" t="n">
        <v>1</v>
      </c>
      <c r="E22" s="10" t="inlineStr">
        <is>
          <t>19/08/2026</t>
        </is>
      </c>
      <c r="F22" s="10" t="inlineStr">
        <is>
          <t>26/08/2026</t>
        </is>
      </c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5" t="inlineStr">
        <is>
          <t>X</t>
        </is>
      </c>
      <c r="V22" s="22" t="n"/>
      <c r="W22" s="22" t="n"/>
      <c r="X22" s="22" t="n"/>
      <c r="Y22" s="22" t="n"/>
      <c r="Z22" s="22" t="n"/>
      <c r="AA22" s="22" t="n"/>
      <c r="AB22" s="22" t="n"/>
    </row>
    <row r="23" ht="22" customHeight="1">
      <c r="A23" s="6" t="inlineStr">
        <is>
          <t>A19</t>
        </is>
      </c>
      <c r="B23" s="7" t="inlineStr">
        <is>
          <t>Plafones Aulas (reticular Armstrong + tablaroca)</t>
        </is>
      </c>
      <c r="C23" s="6" t="inlineStr">
        <is>
          <t>2</t>
        </is>
      </c>
      <c r="D23" s="6" t="n">
        <v>3</v>
      </c>
      <c r="E23" s="6" t="inlineStr">
        <is>
          <t>19/08/2026</t>
        </is>
      </c>
      <c r="F23" s="6" t="inlineStr">
        <is>
          <t>09/09/2026</t>
        </is>
      </c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5" t="inlineStr">
        <is>
          <t>X</t>
        </is>
      </c>
      <c r="V23" s="5" t="inlineStr">
        <is>
          <t>X</t>
        </is>
      </c>
      <c r="W23" s="5" t="inlineStr">
        <is>
          <t>X</t>
        </is>
      </c>
      <c r="X23" s="18" t="n"/>
      <c r="Y23" s="18" t="n"/>
      <c r="Z23" s="18" t="n"/>
      <c r="AA23" s="18" t="n"/>
      <c r="AB23" s="18" t="n"/>
    </row>
    <row r="24" ht="22" customHeight="1">
      <c r="A24" s="19" t="inlineStr">
        <is>
          <t>A20</t>
        </is>
      </c>
      <c r="B24" s="20" t="inlineStr">
        <is>
          <t>Plafones Mediateca (reticular Armstrong + tablaroca)</t>
        </is>
      </c>
      <c r="C24" s="19" t="inlineStr">
        <is>
          <t>12</t>
        </is>
      </c>
      <c r="D24" s="19" t="n">
        <v>3</v>
      </c>
      <c r="E24" s="19" t="inlineStr">
        <is>
          <t>26/08/2026</t>
        </is>
      </c>
      <c r="F24" s="19" t="inlineStr">
        <is>
          <t>16/09/2026</t>
        </is>
      </c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1" t="inlineStr">
        <is>
          <t>X</t>
        </is>
      </c>
      <c r="W24" s="21" t="inlineStr">
        <is>
          <t>X</t>
        </is>
      </c>
      <c r="X24" s="21" t="inlineStr">
        <is>
          <t>X</t>
        </is>
      </c>
      <c r="Y24" s="22" t="n"/>
      <c r="Z24" s="22" t="n"/>
      <c r="AA24" s="22" t="n"/>
      <c r="AB24" s="22" t="n"/>
    </row>
    <row r="25" ht="22" customHeight="1">
      <c r="A25" s="6" t="inlineStr">
        <is>
          <t>A21</t>
        </is>
      </c>
      <c r="B25" s="7" t="inlineStr">
        <is>
          <t>Cableado electrico Aulas (THW en conduit, alimentadores)</t>
        </is>
      </c>
      <c r="C25" s="6" t="inlineStr">
        <is>
          <t>7</t>
        </is>
      </c>
      <c r="D25" s="6" t="n">
        <v>3</v>
      </c>
      <c r="E25" s="6" t="inlineStr">
        <is>
          <t>09/09/2026</t>
        </is>
      </c>
      <c r="F25" s="6" t="inlineStr">
        <is>
          <t>30/09/2026</t>
        </is>
      </c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5" t="inlineStr">
        <is>
          <t>X</t>
        </is>
      </c>
      <c r="Y25" s="5" t="inlineStr">
        <is>
          <t>X</t>
        </is>
      </c>
      <c r="Z25" s="5" t="inlineStr">
        <is>
          <t>X</t>
        </is>
      </c>
      <c r="AA25" s="18" t="n"/>
      <c r="AB25" s="18" t="n"/>
    </row>
    <row r="26" ht="22" customHeight="1">
      <c r="A26" s="19" t="inlineStr">
        <is>
          <t>A22</t>
        </is>
      </c>
      <c r="B26" s="20" t="inlineStr">
        <is>
          <t>Cableado electrico Mediateca (THW en conduit, alimentadores)</t>
        </is>
      </c>
      <c r="C26" s="19" t="inlineStr">
        <is>
          <t>17</t>
        </is>
      </c>
      <c r="D26" s="19" t="n">
        <v>3</v>
      </c>
      <c r="E26" s="19" t="inlineStr">
        <is>
          <t>16/09/2026</t>
        </is>
      </c>
      <c r="F26" s="19" t="inlineStr">
        <is>
          <t>07/10/2026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inlineStr">
        <is>
          <t>X</t>
        </is>
      </c>
      <c r="Z26" s="21" t="inlineStr">
        <is>
          <t>X</t>
        </is>
      </c>
      <c r="AA26" s="21" t="inlineStr">
        <is>
          <t>X</t>
        </is>
      </c>
      <c r="AB26" s="22" t="n"/>
    </row>
    <row r="27" ht="22" customHeight="1">
      <c r="A27" s="6" t="inlineStr">
        <is>
          <t>A23</t>
        </is>
      </c>
      <c r="B27" s="7" t="inlineStr">
        <is>
          <t>Acabados pisos Aulas (loseta, piso de oxido, zoclo vinil)</t>
        </is>
      </c>
      <c r="C27" s="6" t="inlineStr">
        <is>
          <t>3</t>
        </is>
      </c>
      <c r="D27" s="6" t="n">
        <v>3</v>
      </c>
      <c r="E27" s="6" t="inlineStr">
        <is>
          <t>09/09/2026</t>
        </is>
      </c>
      <c r="F27" s="6" t="inlineStr">
        <is>
          <t>30/09/2026</t>
        </is>
      </c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5" t="inlineStr">
        <is>
          <t>X</t>
        </is>
      </c>
      <c r="Y27" s="5" t="inlineStr">
        <is>
          <t>X</t>
        </is>
      </c>
      <c r="Z27" s="5" t="inlineStr">
        <is>
          <t>X</t>
        </is>
      </c>
      <c r="AA27" s="18" t="n"/>
      <c r="AB27" s="18" t="n"/>
    </row>
    <row r="28" ht="22" customHeight="1">
      <c r="A28" s="19" t="inlineStr">
        <is>
          <t>A24</t>
        </is>
      </c>
      <c r="B28" s="20" t="inlineStr">
        <is>
          <t>Acabados pisos Mediateca (loseta, piso de oxido, zoclo vinil)</t>
        </is>
      </c>
      <c r="C28" s="19" t="inlineStr">
        <is>
          <t>13</t>
        </is>
      </c>
      <c r="D28" s="19" t="n">
        <v>3</v>
      </c>
      <c r="E28" s="19" t="inlineStr">
        <is>
          <t>16/09/2026</t>
        </is>
      </c>
      <c r="F28" s="19" t="inlineStr">
        <is>
          <t>07/10/2026</t>
        </is>
      </c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inlineStr">
        <is>
          <t>X</t>
        </is>
      </c>
      <c r="Z28" s="21" t="inlineStr">
        <is>
          <t>X</t>
        </is>
      </c>
      <c r="AA28" s="21" t="inlineStr">
        <is>
          <t>X</t>
        </is>
      </c>
      <c r="AB28" s="22" t="n"/>
    </row>
    <row r="29" ht="22" customHeight="1">
      <c r="A29" s="6" t="inlineStr">
        <is>
          <t>A25</t>
        </is>
      </c>
      <c r="B29" s="7" t="inlineStr">
        <is>
          <t>Acabados muros Aulas (aplanados, azulejo, pintura vinilica)</t>
        </is>
      </c>
      <c r="C29" s="6" t="inlineStr">
        <is>
          <t>3</t>
        </is>
      </c>
      <c r="D29" s="6" t="n">
        <v>3</v>
      </c>
      <c r="E29" s="6" t="inlineStr">
        <is>
          <t>09/09/2026</t>
        </is>
      </c>
      <c r="F29" s="6" t="inlineStr">
        <is>
          <t>30/09/2026</t>
        </is>
      </c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5" t="inlineStr">
        <is>
          <t>X</t>
        </is>
      </c>
      <c r="Y29" s="5" t="inlineStr">
        <is>
          <t>X</t>
        </is>
      </c>
      <c r="Z29" s="5" t="inlineStr">
        <is>
          <t>X</t>
        </is>
      </c>
      <c r="AA29" s="18" t="n"/>
      <c r="AB29" s="18" t="n"/>
    </row>
    <row r="30" ht="22" customHeight="1">
      <c r="A30" s="10" t="inlineStr">
        <is>
          <t>A26</t>
        </is>
      </c>
      <c r="B30" s="11" t="inlineStr">
        <is>
          <t>Acabados muros Mediateca (aplanados, azulejo, pintura vinilica)</t>
        </is>
      </c>
      <c r="C30" s="10" t="inlineStr">
        <is>
          <t>13</t>
        </is>
      </c>
      <c r="D30" s="10" t="n">
        <v>3</v>
      </c>
      <c r="E30" s="10" t="inlineStr">
        <is>
          <t>16/09/2026</t>
        </is>
      </c>
      <c r="F30" s="10" t="inlineStr">
        <is>
          <t>07/10/2026</t>
        </is>
      </c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5" t="inlineStr">
        <is>
          <t>X</t>
        </is>
      </c>
      <c r="Z30" s="5" t="inlineStr">
        <is>
          <t>X</t>
        </is>
      </c>
      <c r="AA30" s="5" t="inlineStr">
        <is>
          <t>X</t>
        </is>
      </c>
      <c r="AB30" s="22" t="n"/>
    </row>
    <row r="31" ht="22" customHeight="1">
      <c r="A31" s="6" t="inlineStr">
        <is>
          <t>A27</t>
        </is>
      </c>
      <c r="B31" s="7" t="inlineStr">
        <is>
          <t>Acabados plafones Aulas (pintura vinilica)</t>
        </is>
      </c>
      <c r="C31" s="6" t="inlineStr">
        <is>
          <t>3</t>
        </is>
      </c>
      <c r="D31" s="6" t="n">
        <v>1</v>
      </c>
      <c r="E31" s="6" t="inlineStr">
        <is>
          <t>09/09/2026</t>
        </is>
      </c>
      <c r="F31" s="6" t="inlineStr">
        <is>
          <t>16/09/2026</t>
        </is>
      </c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5" t="inlineStr">
        <is>
          <t>X</t>
        </is>
      </c>
      <c r="Y31" s="18" t="n"/>
      <c r="Z31" s="18" t="n"/>
      <c r="AA31" s="18" t="n"/>
      <c r="AB31" s="18" t="n"/>
    </row>
    <row r="32" ht="22" customHeight="1">
      <c r="A32" s="10" t="inlineStr">
        <is>
          <t>A28</t>
        </is>
      </c>
      <c r="B32" s="11" t="inlineStr">
        <is>
          <t>Acabados plafones Mediateca (pintura vinilica)</t>
        </is>
      </c>
      <c r="C32" s="10" t="inlineStr">
        <is>
          <t>13</t>
        </is>
      </c>
      <c r="D32" s="10" t="n">
        <v>1</v>
      </c>
      <c r="E32" s="10" t="inlineStr">
        <is>
          <t>16/09/2026</t>
        </is>
      </c>
      <c r="F32" s="10" t="inlineStr">
        <is>
          <t>23/09/2026</t>
        </is>
      </c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5" t="inlineStr">
        <is>
          <t>X</t>
        </is>
      </c>
      <c r="Z32" s="22" t="n"/>
      <c r="AA32" s="22" t="n"/>
      <c r="AB32" s="22" t="n"/>
    </row>
    <row r="33" ht="22" customHeight="1">
      <c r="A33" s="6" t="inlineStr">
        <is>
          <t>A29</t>
        </is>
      </c>
      <c r="B33" s="7" t="inlineStr">
        <is>
          <t>Herrerias y Carpinterias Aulas (barandales, bancas fijas)</t>
        </is>
      </c>
      <c r="C33" s="6" t="inlineStr">
        <is>
          <t>3</t>
        </is>
      </c>
      <c r="D33" s="6" t="n">
        <v>2</v>
      </c>
      <c r="E33" s="6" t="inlineStr">
        <is>
          <t>30/09/2026</t>
        </is>
      </c>
      <c r="F33" s="6" t="inlineStr">
        <is>
          <t>14/10/2026</t>
        </is>
      </c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5" t="inlineStr">
        <is>
          <t>X</t>
        </is>
      </c>
      <c r="AB33" s="5" t="inlineStr">
        <is>
          <t>X</t>
        </is>
      </c>
    </row>
    <row r="34" ht="22" customHeight="1">
      <c r="A34" s="10" t="inlineStr">
        <is>
          <t>A30</t>
        </is>
      </c>
      <c r="B34" s="11" t="inlineStr">
        <is>
          <t>Herrerias, Carpinterias y Cancelerias Mediateca</t>
        </is>
      </c>
      <c r="C34" s="10" t="inlineStr">
        <is>
          <t>15</t>
        </is>
      </c>
      <c r="D34" s="10" t="n">
        <v>3</v>
      </c>
      <c r="E34" s="10" t="inlineStr">
        <is>
          <t>07/10/2026</t>
        </is>
      </c>
      <c r="F34" s="10" t="inlineStr">
        <is>
          <t>28/10/2026</t>
        </is>
      </c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5" t="inlineStr">
        <is>
          <t>X</t>
        </is>
      </c>
    </row>
    <row r="35" ht="22" customHeight="1">
      <c r="A35" s="6" t="inlineStr">
        <is>
          <t>A31</t>
        </is>
      </c>
      <c r="B35" s="7" t="inlineStr">
        <is>
          <t>Puertas y Canceles Aulas</t>
        </is>
      </c>
      <c r="C35" s="6" t="inlineStr">
        <is>
          <t>3</t>
        </is>
      </c>
      <c r="D35" s="6" t="n">
        <v>2</v>
      </c>
      <c r="E35" s="6" t="inlineStr">
        <is>
          <t>30/09/2026</t>
        </is>
      </c>
      <c r="F35" s="6" t="inlineStr">
        <is>
          <t>14/10/2026</t>
        </is>
      </c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5" t="inlineStr">
        <is>
          <t>X</t>
        </is>
      </c>
      <c r="AB35" s="5" t="inlineStr">
        <is>
          <t>X</t>
        </is>
      </c>
    </row>
    <row r="36" ht="22" customHeight="1">
      <c r="A36" s="10" t="inlineStr">
        <is>
          <t>A32</t>
        </is>
      </c>
      <c r="B36" s="11" t="inlineStr">
        <is>
          <t>Nucleos sanitarios Aulas (muebles sanitarios, mamparas, accesorios)</t>
        </is>
      </c>
      <c r="C36" s="10" t="inlineStr">
        <is>
          <t>5</t>
        </is>
      </c>
      <c r="D36" s="10" t="n">
        <v>2</v>
      </c>
      <c r="E36" s="10" t="inlineStr">
        <is>
          <t>30/09/2026</t>
        </is>
      </c>
      <c r="F36" s="10" t="inlineStr">
        <is>
          <t>14/10/2026</t>
        </is>
      </c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5" t="inlineStr">
        <is>
          <t>X</t>
        </is>
      </c>
      <c r="AB36" s="5" t="inlineStr">
        <is>
          <t>X</t>
        </is>
      </c>
    </row>
    <row r="37" ht="22" customHeight="1">
      <c r="A37" s="6" t="inlineStr">
        <is>
          <t>A33</t>
        </is>
      </c>
      <c r="B37" s="7" t="inlineStr">
        <is>
          <t>Nucleos sanitarios Mediateca (muebles sanitarios, mamparas, accesorios)</t>
        </is>
      </c>
      <c r="C37" s="6" t="inlineStr">
        <is>
          <t>14</t>
        </is>
      </c>
      <c r="D37" s="6" t="n">
        <v>2</v>
      </c>
      <c r="E37" s="6" t="inlineStr">
        <is>
          <t>07/10/2026</t>
        </is>
      </c>
      <c r="F37" s="6" t="inlineStr">
        <is>
          <t>21/10/2026</t>
        </is>
      </c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5" t="inlineStr">
        <is>
          <t>X</t>
        </is>
      </c>
    </row>
    <row r="38" ht="22" customHeight="1">
      <c r="A38" s="10" t="inlineStr">
        <is>
          <t>A34</t>
        </is>
      </c>
      <c r="B38" s="11" t="inlineStr">
        <is>
          <t>Instalacion electrica acabados Aulas (contactos, apagadores, luminarias, tableros)</t>
        </is>
      </c>
      <c r="C38" s="10" t="inlineStr">
        <is>
          <t>7</t>
        </is>
      </c>
      <c r="D38" s="10" t="n">
        <v>3</v>
      </c>
      <c r="E38" s="10" t="inlineStr">
        <is>
          <t>30/09/2026</t>
        </is>
      </c>
      <c r="F38" s="10" t="inlineStr">
        <is>
          <t>21/10/2026</t>
        </is>
      </c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5" t="inlineStr">
        <is>
          <t>X</t>
        </is>
      </c>
      <c r="AB38" s="5" t="inlineStr">
        <is>
          <t>X</t>
        </is>
      </c>
    </row>
    <row r="39" ht="22" customHeight="1">
      <c r="A39" s="6" t="inlineStr">
        <is>
          <t>A35</t>
        </is>
      </c>
      <c r="B39" s="7" t="inlineStr">
        <is>
          <t>Instalacion electrica acabados Mediateca (contactos, apagadores, luminarias, tableros)</t>
        </is>
      </c>
      <c r="C39" s="6" t="inlineStr">
        <is>
          <t>17</t>
        </is>
      </c>
      <c r="D39" s="6" t="n">
        <v>3</v>
      </c>
      <c r="E39" s="6" t="inlineStr">
        <is>
          <t>07/10/2026</t>
        </is>
      </c>
      <c r="F39" s="6" t="inlineStr">
        <is>
          <t>28/10/2026</t>
        </is>
      </c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5" t="inlineStr">
        <is>
          <t>X</t>
        </is>
      </c>
    </row>
    <row r="40" ht="22" customHeight="1">
      <c r="A40" s="10" t="inlineStr">
        <is>
          <t>A36</t>
        </is>
      </c>
      <c r="B40" s="11" t="inlineStr">
        <is>
          <t>Instalaciones especiales Aulas (control acceso, CCTV, voz y datos, cableado Cat6A)</t>
        </is>
      </c>
      <c r="C40" s="10" t="inlineStr">
        <is>
          <t>8</t>
        </is>
      </c>
      <c r="D40" s="10" t="n">
        <v>4</v>
      </c>
      <c r="E40" s="10" t="inlineStr">
        <is>
          <t>30/09/2026</t>
        </is>
      </c>
      <c r="F40" s="10" t="inlineStr">
        <is>
          <t>28/10/2026</t>
        </is>
      </c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5" t="inlineStr">
        <is>
          <t>X</t>
        </is>
      </c>
      <c r="AB40" s="5" t="inlineStr">
        <is>
          <t>X</t>
        </is>
      </c>
    </row>
    <row r="41" ht="22" customHeight="1">
      <c r="A41" s="23" t="inlineStr">
        <is>
          <t>A37</t>
        </is>
      </c>
      <c r="B41" s="24" t="inlineStr">
        <is>
          <t>Instalaciones especiales Mediateca (control acceso, CCTV, PCI, voz y datos)</t>
        </is>
      </c>
      <c r="C41" s="23" t="inlineStr">
        <is>
          <t>18,19</t>
        </is>
      </c>
      <c r="D41" s="23" t="n">
        <v>4</v>
      </c>
      <c r="E41" s="23" t="inlineStr">
        <is>
          <t>07/10/2026</t>
        </is>
      </c>
      <c r="F41" s="23" t="inlineStr">
        <is>
          <t>04/11/2026</t>
        </is>
      </c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21" t="inlineStr">
        <is>
          <t>X</t>
        </is>
      </c>
    </row>
    <row r="42" ht="22" customHeight="1">
      <c r="A42" s="10" t="inlineStr">
        <is>
          <t>A38</t>
        </is>
      </c>
      <c r="B42" s="11" t="inlineStr">
        <is>
          <t>AA equipos Aulas (evaporadora, condensadora, puesta en marcha)</t>
        </is>
      </c>
      <c r="C42" s="10" t="inlineStr">
        <is>
          <t>9</t>
        </is>
      </c>
      <c r="D42" s="10" t="n">
        <v>2</v>
      </c>
      <c r="E42" s="10" t="inlineStr">
        <is>
          <t>16/09/2026</t>
        </is>
      </c>
      <c r="F42" s="10" t="inlineStr">
        <is>
          <t>30/09/2026</t>
        </is>
      </c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5" t="inlineStr">
        <is>
          <t>X</t>
        </is>
      </c>
      <c r="Z42" s="5" t="inlineStr">
        <is>
          <t>X</t>
        </is>
      </c>
      <c r="AA42" s="22" t="n"/>
      <c r="AB42" s="22" t="n"/>
    </row>
    <row r="43" ht="22" customHeight="1">
      <c r="A43" s="6" t="inlineStr">
        <is>
          <t>A39</t>
        </is>
      </c>
      <c r="B43" s="7" t="inlineStr">
        <is>
          <t>AA equipos Mediateca (VRF, splits, puesta en marcha)</t>
        </is>
      </c>
      <c r="C43" s="6" t="inlineStr">
        <is>
          <t>20</t>
        </is>
      </c>
      <c r="D43" s="6" t="n">
        <v>3</v>
      </c>
      <c r="E43" s="6" t="inlineStr">
        <is>
          <t>23/09/2026</t>
        </is>
      </c>
      <c r="F43" s="6" t="inlineStr">
        <is>
          <t>14/10/2026</t>
        </is>
      </c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5" t="inlineStr">
        <is>
          <t>X</t>
        </is>
      </c>
      <c r="AA43" s="5" t="inlineStr">
        <is>
          <t>X</t>
        </is>
      </c>
      <c r="AB43" s="5" t="inlineStr">
        <is>
          <t>X</t>
        </is>
      </c>
    </row>
    <row r="44" ht="22" customHeight="1">
      <c r="A44" s="10" t="inlineStr">
        <is>
          <t>A40</t>
        </is>
      </c>
      <c r="B44" s="11" t="inlineStr">
        <is>
          <t>Deteccion de humos equipos (detectores, estaciones, alarmas) ambas zonas</t>
        </is>
      </c>
      <c r="C44" s="10" t="inlineStr">
        <is>
          <t>10,21</t>
        </is>
      </c>
      <c r="D44" s="10" t="n">
        <v>2</v>
      </c>
      <c r="E44" s="10" t="inlineStr">
        <is>
          <t>23/09/2026</t>
        </is>
      </c>
      <c r="F44" s="10" t="inlineStr">
        <is>
          <t>07/10/2026</t>
        </is>
      </c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5" t="inlineStr">
        <is>
          <t>X</t>
        </is>
      </c>
      <c r="AA44" s="5" t="inlineStr">
        <is>
          <t>X</t>
        </is>
      </c>
      <c r="AB44" s="22" t="n"/>
    </row>
    <row r="45" ht="22" customHeight="1">
      <c r="A45" s="23" t="inlineStr">
        <is>
          <t>A41</t>
        </is>
      </c>
      <c r="B45" s="24" t="inlineStr">
        <is>
          <t>Pruebas y puesta en marcha (todas las instalaciones, ambas zonas)</t>
        </is>
      </c>
      <c r="C45" s="23" t="inlineStr">
        <is>
          <t>Todas</t>
        </is>
      </c>
      <c r="D45" s="23" t="n">
        <v>2</v>
      </c>
      <c r="E45" s="23" t="inlineStr">
        <is>
          <t>04/11/2026</t>
        </is>
      </c>
      <c r="F45" s="23" t="inlineStr">
        <is>
          <t>18/11/2026</t>
        </is>
      </c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</row>
    <row r="46" ht="22" customHeight="1">
      <c r="A46" s="10" t="inlineStr">
        <is>
          <t>A42</t>
        </is>
      </c>
      <c r="B46" s="11" t="inlineStr">
        <is>
          <t>Limpieza gruesa (continua durante toda la obra)</t>
        </is>
      </c>
      <c r="C46" s="10" t="inlineStr">
        <is>
          <t>4</t>
        </is>
      </c>
      <c r="D46" s="10" t="n">
        <v>29</v>
      </c>
      <c r="E46" s="10" t="inlineStr">
        <is>
          <t>13/05/2026</t>
        </is>
      </c>
      <c r="F46" s="10" t="inlineStr">
        <is>
          <t>02/12/2026</t>
        </is>
      </c>
      <c r="G46" s="25" t="inlineStr">
        <is>
          <t>=</t>
        </is>
      </c>
      <c r="H46" s="25" t="inlineStr">
        <is>
          <t>=</t>
        </is>
      </c>
      <c r="I46" s="25" t="inlineStr">
        <is>
          <t>=</t>
        </is>
      </c>
      <c r="J46" s="25" t="inlineStr">
        <is>
          <t>=</t>
        </is>
      </c>
      <c r="K46" s="25" t="inlineStr">
        <is>
          <t>=</t>
        </is>
      </c>
      <c r="L46" s="25" t="inlineStr">
        <is>
          <t>=</t>
        </is>
      </c>
      <c r="M46" s="25" t="inlineStr">
        <is>
          <t>=</t>
        </is>
      </c>
      <c r="N46" s="25" t="inlineStr">
        <is>
          <t>=</t>
        </is>
      </c>
      <c r="O46" s="25" t="inlineStr">
        <is>
          <t>=</t>
        </is>
      </c>
      <c r="P46" s="25" t="inlineStr">
        <is>
          <t>=</t>
        </is>
      </c>
      <c r="Q46" s="25" t="inlineStr">
        <is>
          <t>=</t>
        </is>
      </c>
      <c r="R46" s="25" t="inlineStr">
        <is>
          <t>=</t>
        </is>
      </c>
      <c r="S46" s="25" t="inlineStr">
        <is>
          <t>=</t>
        </is>
      </c>
      <c r="T46" s="25" t="inlineStr">
        <is>
          <t>=</t>
        </is>
      </c>
      <c r="U46" s="25" t="inlineStr">
        <is>
          <t>=</t>
        </is>
      </c>
      <c r="V46" s="25" t="inlineStr">
        <is>
          <t>=</t>
        </is>
      </c>
      <c r="W46" s="25" t="inlineStr">
        <is>
          <t>=</t>
        </is>
      </c>
      <c r="X46" s="25" t="inlineStr">
        <is>
          <t>=</t>
        </is>
      </c>
      <c r="Y46" s="25" t="inlineStr">
        <is>
          <t>=</t>
        </is>
      </c>
      <c r="Z46" s="25" t="inlineStr">
        <is>
          <t>=</t>
        </is>
      </c>
      <c r="AA46" s="25" t="inlineStr">
        <is>
          <t>=</t>
        </is>
      </c>
      <c r="AB46" s="25" t="inlineStr">
        <is>
          <t>=</t>
        </is>
      </c>
    </row>
    <row r="47" ht="22" customHeight="1">
      <c r="A47" s="23" t="inlineStr">
        <is>
          <t>A43</t>
        </is>
      </c>
      <c r="B47" s="24" t="inlineStr">
        <is>
          <t>Limpieza fina para entrega</t>
        </is>
      </c>
      <c r="C47" s="23" t="inlineStr">
        <is>
          <t>4</t>
        </is>
      </c>
      <c r="D47" s="23" t="n">
        <v>2</v>
      </c>
      <c r="E47" s="23" t="inlineStr">
        <is>
          <t>18/11/2026</t>
        </is>
      </c>
      <c r="F47" s="23" t="inlineStr">
        <is>
          <t>02/12/2026</t>
        </is>
      </c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</row>
    <row r="50">
      <c r="A50" s="12" t="inlineStr">
        <is>
          <t>LEYENDA:</t>
        </is>
      </c>
    </row>
    <row r="51">
      <c r="B51" s="26" t="inlineStr">
        <is>
          <t>X</t>
        </is>
      </c>
      <c r="C51" s="27">
        <f> Ruta Critica</f>
        <v/>
      </c>
    </row>
    <row r="52">
      <c r="B52" s="28" t="inlineStr">
        <is>
          <t>X</t>
        </is>
      </c>
      <c r="C52" s="15">
        <f> Actividad no critica</f>
        <v/>
      </c>
    </row>
    <row r="53">
      <c r="B53" s="29" t="inlineStr">
        <is>
          <t>=</t>
        </is>
      </c>
      <c r="C53" s="15">
        <f> Limpieza continua</f>
        <v/>
      </c>
    </row>
  </sheetData>
  <mergeCells count="7">
    <mergeCell ref="K3:O3"/>
    <mergeCell ref="G3:J3"/>
    <mergeCell ref="A2:R2"/>
    <mergeCell ref="P3:S3"/>
    <mergeCell ref="A1:R1"/>
    <mergeCell ref="Y3:AB3"/>
    <mergeCell ref="T3:X3"/>
  </mergeCells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E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0" customWidth="1" min="3" max="3"/>
    <col width="14" customWidth="1" min="4" max="4"/>
    <col width="55" customWidth="1" min="5" max="5"/>
  </cols>
  <sheetData>
    <row r="1" ht="35" customHeight="1">
      <c r="A1" s="1" t="inlineStr">
        <is>
          <t>DIAGRAMA PERT - Licitacion UAM.JA.RG.LP.03.2026 - TABLA DE DEPENDENCIAS</t>
        </is>
      </c>
    </row>
    <row r="2" ht="25" customHeight="1">
      <c r="A2" s="2" t="inlineStr">
        <is>
          <t>Habilitacion del primer nivel del edificio "F" de la Unidad Lerma</t>
        </is>
      </c>
    </row>
    <row r="4" ht="35" customHeight="1">
      <c r="A4" s="5" t="inlineStr">
        <is>
          <t>Actividad</t>
        </is>
      </c>
      <c r="B4" s="5" t="inlineStr">
        <is>
          <t>Descripcion</t>
        </is>
      </c>
      <c r="C4" s="5" t="inlineStr">
        <is>
          <t>Predecesoras</t>
        </is>
      </c>
      <c r="D4" s="5" t="inlineStr">
        <is>
          <t>Tipo de
Relacion</t>
        </is>
      </c>
      <c r="E4" s="5" t="inlineStr">
        <is>
          <t>Observaciones</t>
        </is>
      </c>
    </row>
    <row r="5" ht="28" customHeight="1">
      <c r="A5" s="6" t="inlineStr">
        <is>
          <t>A1</t>
        </is>
      </c>
      <c r="B5" s="7" t="inlineStr">
        <is>
          <t>Preliminares Aulas (trazo, protecciones, limpieza inicial)</t>
        </is>
      </c>
      <c r="C5" s="6" t="inlineStr">
        <is>
          <t>- (Inicio)</t>
        </is>
      </c>
      <c r="D5" s="6" t="inlineStr">
        <is>
          <t>- (Inicio)</t>
        </is>
      </c>
      <c r="E5" s="7" t="inlineStr">
        <is>
          <t>Inicio de obra, zona Aulas de Computo</t>
        </is>
      </c>
    </row>
    <row r="6" ht="28" customHeight="1">
      <c r="A6" s="8" t="inlineStr">
        <is>
          <t>A2</t>
        </is>
      </c>
      <c r="B6" s="30" t="inlineStr">
        <is>
          <t>Preliminares Mediateca (desmantelamientos, acarreos, trazo)</t>
        </is>
      </c>
      <c r="C6" s="31" t="inlineStr">
        <is>
          <t>- (Inicio)</t>
        </is>
      </c>
      <c r="D6" s="31" t="inlineStr">
        <is>
          <t>- (Inicio)</t>
        </is>
      </c>
      <c r="E6" s="30" t="inlineStr">
        <is>
          <t>Inicio de obra, zona Mediateca/Cubiculos. Incluye desmantelamientos de instalaciones existentes</t>
        </is>
      </c>
    </row>
    <row r="7" ht="28" customHeight="1">
      <c r="A7" s="6" t="inlineStr">
        <is>
          <t>A3</t>
        </is>
      </c>
      <c r="B7" s="7" t="inlineStr">
        <is>
          <t>Albanileria: Firmes Aulas</t>
        </is>
      </c>
      <c r="C7" s="6" t="inlineStr">
        <is>
          <t>A1</t>
        </is>
      </c>
      <c r="D7" s="6" t="inlineStr">
        <is>
          <t>FC (Fin-Comienzo)</t>
        </is>
      </c>
      <c r="E7" s="7" t="inlineStr">
        <is>
          <t>Requiere trazo y niveles previos. Firmes de concreto f'c=200 kg/cm2</t>
        </is>
      </c>
    </row>
    <row r="8" ht="28" customHeight="1">
      <c r="A8" s="8" t="inlineStr">
        <is>
          <t>A4</t>
        </is>
      </c>
      <c r="B8" s="30" t="inlineStr">
        <is>
          <t>Albanileria: Firmes Mediateca</t>
        </is>
      </c>
      <c r="C8" s="31" t="inlineStr">
        <is>
          <t>A2</t>
        </is>
      </c>
      <c r="D8" s="31" t="inlineStr">
        <is>
          <t>FC (Fin-Comienzo)</t>
        </is>
      </c>
      <c r="E8" s="30" t="inlineStr">
        <is>
          <t>Requiere trazo y niveles previos. Firmes de concreto f'c=200 kg/cm2</t>
        </is>
      </c>
    </row>
    <row r="9" ht="28" customHeight="1">
      <c r="A9" s="6" t="inlineStr">
        <is>
          <t>A5</t>
        </is>
      </c>
      <c r="B9" s="7" t="inlineStr">
        <is>
          <t>Albanileria: Muros Block y Tablaroca Aulas</t>
        </is>
      </c>
      <c r="C9" s="6" t="inlineStr">
        <is>
          <t>A3</t>
        </is>
      </c>
      <c r="D9" s="6" t="inlineStr">
        <is>
          <t>FC (Fin-Comienzo)</t>
        </is>
      </c>
      <c r="E9" s="7" t="inlineStr">
        <is>
          <t>Muros de block hueco 15x20x40 y tablaroca con perfileria metalica</t>
        </is>
      </c>
    </row>
    <row r="10" ht="28" customHeight="1">
      <c r="A10" s="8" t="inlineStr">
        <is>
          <t>A6</t>
        </is>
      </c>
      <c r="B10" s="30" t="inlineStr">
        <is>
          <t>Albanileria: Muros Block y Tablaroca Mediateca</t>
        </is>
      </c>
      <c r="C10" s="31" t="inlineStr">
        <is>
          <t>A4</t>
        </is>
      </c>
      <c r="D10" s="31" t="inlineStr">
        <is>
          <t>FC (Fin-Comienzo)</t>
        </is>
      </c>
      <c r="E10" s="30" t="inlineStr">
        <is>
          <t>Muros de block hueco 15x20x40 y tablaroca con perfileria metalica</t>
        </is>
      </c>
    </row>
    <row r="11" ht="28" customHeight="1">
      <c r="A11" s="6" t="inlineStr">
        <is>
          <t>A7</t>
        </is>
      </c>
      <c r="B11" s="7" t="inlineStr">
        <is>
          <t>Castillos y Dalas Aulas</t>
        </is>
      </c>
      <c r="C11" s="6" t="inlineStr">
        <is>
          <t>A5</t>
        </is>
      </c>
      <c r="D11" s="6" t="inlineStr">
        <is>
          <t>FC (Fin-Comienzo)</t>
        </is>
      </c>
      <c r="E11" s="7" t="inlineStr">
        <is>
          <t>Refuerzo estructural de muros de block. Concreto f'c=200 kg/cm2</t>
        </is>
      </c>
    </row>
    <row r="12" ht="28" customHeight="1">
      <c r="A12" s="8" t="inlineStr">
        <is>
          <t>A8</t>
        </is>
      </c>
      <c r="B12" s="30" t="inlineStr">
        <is>
          <t>Castillos y Dalas Mediateca</t>
        </is>
      </c>
      <c r="C12" s="31" t="inlineStr">
        <is>
          <t>A6</t>
        </is>
      </c>
      <c r="D12" s="31" t="inlineStr">
        <is>
          <t>FC (Fin-Comienzo)</t>
        </is>
      </c>
      <c r="E12" s="30" t="inlineStr">
        <is>
          <t>Refuerzo estructural de muros de block. Concreto f'c=200 kg/cm2</t>
        </is>
      </c>
    </row>
    <row r="13" ht="28" customHeight="1">
      <c r="A13" s="6" t="inlineStr">
        <is>
          <t>A9</t>
        </is>
      </c>
      <c r="B13" s="7" t="inlineStr">
        <is>
          <t>Instalacion Hidrosanitaria oculta Aulas</t>
        </is>
      </c>
      <c r="C13" s="6" t="inlineStr">
        <is>
          <t>A7</t>
        </is>
      </c>
      <c r="D13" s="6" t="inlineStr">
        <is>
          <t>FC (Fin-Comienzo)</t>
        </is>
      </c>
      <c r="E13" s="7" t="inlineStr">
        <is>
          <t>Trazado de redes ocultas antes de cerrar muros y plafones Ejecucion en paralelo con otras inst. ocultas</t>
        </is>
      </c>
    </row>
    <row r="14" ht="28" customHeight="1">
      <c r="A14" s="10" t="inlineStr">
        <is>
          <t>A10</t>
        </is>
      </c>
      <c r="B14" s="11" t="inlineStr">
        <is>
          <t>Instalacion Hidrosanitaria oculta Mediateca</t>
        </is>
      </c>
      <c r="C14" s="10" t="inlineStr">
        <is>
          <t>A8</t>
        </is>
      </c>
      <c r="D14" s="10" t="inlineStr">
        <is>
          <t>FC (Fin-Comienzo)</t>
        </is>
      </c>
      <c r="E14" s="11" t="inlineStr">
        <is>
          <t>Trazado de redes ocultas antes de cerrar muros y plafones Ejecucion en paralelo con otras inst. ocultas</t>
        </is>
      </c>
    </row>
    <row r="15" ht="28" customHeight="1">
      <c r="A15" s="6" t="inlineStr">
        <is>
          <t>A11</t>
        </is>
      </c>
      <c r="B15" s="7" t="inlineStr">
        <is>
          <t>Instalacion Electrica oculta Aulas (tuberia conduit, cajas, registros)</t>
        </is>
      </c>
      <c r="C15" s="6" t="inlineStr">
        <is>
          <t>A7</t>
        </is>
      </c>
      <c r="D15" s="6" t="inlineStr">
        <is>
          <t>FC (Fin-Comienzo)</t>
        </is>
      </c>
      <c r="E15" s="7" t="inlineStr">
        <is>
          <t>Tuberia conduit, cajas de registro, ductos. Se ejecuta en paralelo con hidro y AA</t>
        </is>
      </c>
    </row>
    <row r="16" ht="28" customHeight="1">
      <c r="A16" s="8" t="inlineStr">
        <is>
          <t>A12</t>
        </is>
      </c>
      <c r="B16" s="30" t="inlineStr">
        <is>
          <t>Instalacion Electrica oculta Mediateca (tuberia conduit, cajas, registros)</t>
        </is>
      </c>
      <c r="C16" s="31" t="inlineStr">
        <is>
          <t>A8</t>
        </is>
      </c>
      <c r="D16" s="31" t="inlineStr">
        <is>
          <t>FC (Fin-Comienzo)</t>
        </is>
      </c>
      <c r="E16" s="30" t="inlineStr">
        <is>
          <t>Tuberia conduit, cajas de registro, ductos. Se ejecuta en paralelo con hidro y AA</t>
        </is>
      </c>
    </row>
    <row r="17" ht="28" customHeight="1">
      <c r="A17" s="6" t="inlineStr">
        <is>
          <t>A13</t>
        </is>
      </c>
      <c r="B17" s="7" t="inlineStr">
        <is>
          <t>Aire Acondicionado Aulas (tuberia refrigeracion, ductos)</t>
        </is>
      </c>
      <c r="C17" s="6" t="inlineStr">
        <is>
          <t>A7</t>
        </is>
      </c>
      <c r="D17" s="6" t="inlineStr">
        <is>
          <t>FC (Fin-Comienzo)</t>
        </is>
      </c>
      <c r="E17" s="7" t="inlineStr">
        <is>
          <t>Instalacion de tuberia de refrigeracion y ductos antes de plafones. En paralelo con electrica</t>
        </is>
      </c>
    </row>
    <row r="18" ht="28" customHeight="1">
      <c r="A18" s="8" t="inlineStr">
        <is>
          <t>A14</t>
        </is>
      </c>
      <c r="B18" s="30" t="inlineStr">
        <is>
          <t>Aire Acondicionado Mediateca (sistema VRF, tuberia refrigeracion)</t>
        </is>
      </c>
      <c r="C18" s="31" t="inlineStr">
        <is>
          <t>A8</t>
        </is>
      </c>
      <c r="D18" s="31" t="inlineStr">
        <is>
          <t>FC (Fin-Comienzo)</t>
        </is>
      </c>
      <c r="E18" s="30" t="inlineStr">
        <is>
          <t>Sistema VRF. Tuberia de refrigeracion y ductos. En paralelo con electrica. Mayor duracion por sistema VRF</t>
        </is>
      </c>
    </row>
    <row r="19" ht="28" customHeight="1">
      <c r="A19" s="6" t="inlineStr">
        <is>
          <t>A15</t>
        </is>
      </c>
      <c r="B19" s="7" t="inlineStr">
        <is>
          <t>Deteccion de Humos Aulas (tuberia y cableado oculto)</t>
        </is>
      </c>
      <c r="C19" s="6" t="inlineStr">
        <is>
          <t>A7</t>
        </is>
      </c>
      <c r="D19" s="6" t="inlineStr">
        <is>
          <t>FC (Fin-Comienzo)</t>
        </is>
      </c>
      <c r="E19" s="7" t="inlineStr">
        <is>
          <t>Tuberia y cableado oculto en plafon. En paralelo con otras instalaciones ocultas</t>
        </is>
      </c>
    </row>
    <row r="20" ht="28" customHeight="1">
      <c r="A20" s="10" t="inlineStr">
        <is>
          <t>A16</t>
        </is>
      </c>
      <c r="B20" s="11" t="inlineStr">
        <is>
          <t>Deteccion de Humos Mediateca (tuberia y cableado oculto)</t>
        </is>
      </c>
      <c r="C20" s="10" t="inlineStr">
        <is>
          <t>A8</t>
        </is>
      </c>
      <c r="D20" s="10" t="inlineStr">
        <is>
          <t>FC (Fin-Comienzo)</t>
        </is>
      </c>
      <c r="E20" s="11" t="inlineStr">
        <is>
          <t>Tuberia y cableado oculto en plafon. En paralelo con otras instalaciones ocultas</t>
        </is>
      </c>
    </row>
    <row r="21" ht="28" customHeight="1">
      <c r="A21" s="6" t="inlineStr">
        <is>
          <t>A17</t>
        </is>
      </c>
      <c r="B21" s="7" t="inlineStr">
        <is>
          <t>Impermeabilizacion charolas sanitarios Aulas</t>
        </is>
      </c>
      <c r="C21" s="6" t="inlineStr">
        <is>
          <t>A9</t>
        </is>
      </c>
      <c r="D21" s="6" t="inlineStr">
        <is>
          <t>FC (Fin-Comienzo)</t>
        </is>
      </c>
      <c r="E21" s="7" t="inlineStr">
        <is>
          <t>Impermeabilizacion integral en charolas de banos previo a colocacion de piso</t>
        </is>
      </c>
    </row>
    <row r="22" ht="28" customHeight="1">
      <c r="A22" s="10" t="inlineStr">
        <is>
          <t>A18</t>
        </is>
      </c>
      <c r="B22" s="11" t="inlineStr">
        <is>
          <t>Impermeabilizacion charolas sanitarios Mediateca</t>
        </is>
      </c>
      <c r="C22" s="10" t="inlineStr">
        <is>
          <t>A10</t>
        </is>
      </c>
      <c r="D22" s="10" t="inlineStr">
        <is>
          <t>FC (Fin-Comienzo)</t>
        </is>
      </c>
      <c r="E22" s="11" t="inlineStr">
        <is>
          <t>Impermeabilizacion integral en charolas de banos previo a colocacion de piso</t>
        </is>
      </c>
    </row>
    <row r="23" ht="28" customHeight="1">
      <c r="A23" s="6" t="inlineStr">
        <is>
          <t>A19</t>
        </is>
      </c>
      <c r="B23" s="7" t="inlineStr">
        <is>
          <t>Plafones Aulas (reticular Armstrong + tablaroca)</t>
        </is>
      </c>
      <c r="C23" s="6" t="inlineStr">
        <is>
          <t>A11, A13, A15</t>
        </is>
      </c>
      <c r="D23" s="6" t="inlineStr">
        <is>
          <t>FC (Fin-Comienzo)</t>
        </is>
      </c>
      <c r="E23" s="7" t="inlineStr">
        <is>
          <t>Se instala despues de que todas las instalaciones ocultas estan completas. Plafon reticular y tablaroca</t>
        </is>
      </c>
    </row>
    <row r="24" ht="28" customHeight="1">
      <c r="A24" s="8" t="inlineStr">
        <is>
          <t>A20</t>
        </is>
      </c>
      <c r="B24" s="30" t="inlineStr">
        <is>
          <t>Plafones Mediateca (reticular Armstrong + tablaroca)</t>
        </is>
      </c>
      <c r="C24" s="31" t="inlineStr">
        <is>
          <t>A12, A14, A16</t>
        </is>
      </c>
      <c r="D24" s="31" t="inlineStr">
        <is>
          <t>FC (Fin-Comienzo)</t>
        </is>
      </c>
      <c r="E24" s="30" t="inlineStr">
        <is>
          <t>Se instala despues de que todas las instalaciones ocultas estan completas. Plafon reticular y tablaroca</t>
        </is>
      </c>
    </row>
    <row r="25" ht="28" customHeight="1">
      <c r="A25" s="6" t="inlineStr">
        <is>
          <t>A21</t>
        </is>
      </c>
      <c r="B25" s="7" t="inlineStr">
        <is>
          <t>Cableado electrico Aulas (THW en conduit, alimentadores)</t>
        </is>
      </c>
      <c r="C25" s="6" t="inlineStr">
        <is>
          <t>A19</t>
        </is>
      </c>
      <c r="D25" s="6" t="inlineStr">
        <is>
          <t>FC (Fin-Comienzo)</t>
        </is>
      </c>
      <c r="E25" s="7" t="inlineStr">
        <is>
          <t>Cableado THW por conduit, alimentadores a tableros. Requiere plafones terminados</t>
        </is>
      </c>
    </row>
    <row r="26" ht="28" customHeight="1">
      <c r="A26" s="8" t="inlineStr">
        <is>
          <t>A22</t>
        </is>
      </c>
      <c r="B26" s="30" t="inlineStr">
        <is>
          <t>Cableado electrico Mediateca (THW en conduit, alimentadores)</t>
        </is>
      </c>
      <c r="C26" s="31" t="inlineStr">
        <is>
          <t>A20</t>
        </is>
      </c>
      <c r="D26" s="31" t="inlineStr">
        <is>
          <t>FC (Fin-Comienzo)</t>
        </is>
      </c>
      <c r="E26" s="30" t="inlineStr">
        <is>
          <t>Cableado THW por conduit, alimentadores a tableros. Requiere plafones terminados</t>
        </is>
      </c>
    </row>
    <row r="27" ht="28" customHeight="1">
      <c r="A27" s="6" t="inlineStr">
        <is>
          <t>A23</t>
        </is>
      </c>
      <c r="B27" s="7" t="inlineStr">
        <is>
          <t>Acabados pisos Aulas (loseta, piso de oxido, zoclo vinil)</t>
        </is>
      </c>
      <c r="C27" s="6" t="inlineStr">
        <is>
          <t>A19, A17</t>
        </is>
      </c>
      <c r="D27" s="6" t="inlineStr">
        <is>
          <t>FC (Fin-Comienzo)</t>
        </is>
      </c>
      <c r="E27" s="7" t="inlineStr">
        <is>
          <t>Loseta ceramica, piso de oxido, zoclo de vinil. Requiere plafones e impermeabilizacion previos</t>
        </is>
      </c>
    </row>
    <row r="28" ht="28" customHeight="1">
      <c r="A28" s="8" t="inlineStr">
        <is>
          <t>A24</t>
        </is>
      </c>
      <c r="B28" s="30" t="inlineStr">
        <is>
          <t>Acabados pisos Mediateca (loseta, piso de oxido, zoclo vinil)</t>
        </is>
      </c>
      <c r="C28" s="31" t="inlineStr">
        <is>
          <t>A20, A18</t>
        </is>
      </c>
      <c r="D28" s="31" t="inlineStr">
        <is>
          <t>FC (Fin-Comienzo)</t>
        </is>
      </c>
      <c r="E28" s="30" t="inlineStr">
        <is>
          <t>Loseta ceramica, piso de oxido, zoclo de vinil. Requiere plafones e impermeabilizacion previos</t>
        </is>
      </c>
    </row>
    <row r="29" ht="28" customHeight="1">
      <c r="A29" s="6" t="inlineStr">
        <is>
          <t>A25</t>
        </is>
      </c>
      <c r="B29" s="7" t="inlineStr">
        <is>
          <t>Acabados muros Aulas (aplanados, azulejo, pintura vinilica)</t>
        </is>
      </c>
      <c r="C29" s="6" t="inlineStr">
        <is>
          <t>A19</t>
        </is>
      </c>
      <c r="D29" s="6" t="inlineStr">
        <is>
          <t>FC (Fin-Comienzo)</t>
        </is>
      </c>
      <c r="E29" s="7" t="inlineStr">
        <is>
          <t>Aplanados de mortero, azulejo en banos, pintura vinilica. Requiere plafones terminados</t>
        </is>
      </c>
    </row>
    <row r="30" ht="28" customHeight="1">
      <c r="A30" s="10" t="inlineStr">
        <is>
          <t>A26</t>
        </is>
      </c>
      <c r="B30" s="11" t="inlineStr">
        <is>
          <t>Acabados muros Mediateca (aplanados, azulejo, pintura vinilica)</t>
        </is>
      </c>
      <c r="C30" s="10" t="inlineStr">
        <is>
          <t>A20</t>
        </is>
      </c>
      <c r="D30" s="10" t="inlineStr">
        <is>
          <t>FC (Fin-Comienzo)</t>
        </is>
      </c>
      <c r="E30" s="11" t="inlineStr">
        <is>
          <t>Aplanados de mortero, azulejo en banos, pintura vinilica. Requiere plafones terminados</t>
        </is>
      </c>
    </row>
    <row r="31" ht="28" customHeight="1">
      <c r="A31" s="6" t="inlineStr">
        <is>
          <t>A27</t>
        </is>
      </c>
      <c r="B31" s="7" t="inlineStr">
        <is>
          <t>Acabados plafones Aulas (pintura vinilica)</t>
        </is>
      </c>
      <c r="C31" s="6" t="inlineStr">
        <is>
          <t>A19</t>
        </is>
      </c>
      <c r="D31" s="6" t="inlineStr">
        <is>
          <t>FC (Fin-Comienzo)</t>
        </is>
      </c>
      <c r="E31" s="7" t="inlineStr">
        <is>
          <t>Pintura vinilica en plafon de tablaroca</t>
        </is>
      </c>
    </row>
    <row r="32" ht="28" customHeight="1">
      <c r="A32" s="10" t="inlineStr">
        <is>
          <t>A28</t>
        </is>
      </c>
      <c r="B32" s="11" t="inlineStr">
        <is>
          <t>Acabados plafones Mediateca (pintura vinilica)</t>
        </is>
      </c>
      <c r="C32" s="10" t="inlineStr">
        <is>
          <t>A20</t>
        </is>
      </c>
      <c r="D32" s="10" t="inlineStr">
        <is>
          <t>FC (Fin-Comienzo)</t>
        </is>
      </c>
      <c r="E32" s="11" t="inlineStr">
        <is>
          <t>Pintura vinilica en plafon de tablaroca</t>
        </is>
      </c>
    </row>
    <row r="33" ht="28" customHeight="1">
      <c r="A33" s="6" t="inlineStr">
        <is>
          <t>A29</t>
        </is>
      </c>
      <c r="B33" s="7" t="inlineStr">
        <is>
          <t>Herrerias y Carpinterias Aulas (barandales, bancas fijas)</t>
        </is>
      </c>
      <c r="C33" s="6" t="inlineStr">
        <is>
          <t>A23, A25</t>
        </is>
      </c>
      <c r="D33" s="6" t="inlineStr">
        <is>
          <t>FC (Fin-Comienzo)</t>
        </is>
      </c>
      <c r="E33" s="7" t="inlineStr">
        <is>
          <t>Barandales de acero, bancas fijas. Requiere pisos y muros terminados</t>
        </is>
      </c>
    </row>
    <row r="34" ht="28" customHeight="1">
      <c r="A34" s="10" t="inlineStr">
        <is>
          <t>A30</t>
        </is>
      </c>
      <c r="B34" s="11" t="inlineStr">
        <is>
          <t>Herrerias, Carpinterias y Cancelerias Mediateca</t>
        </is>
      </c>
      <c r="C34" s="10" t="inlineStr">
        <is>
          <t>A24, A26</t>
        </is>
      </c>
      <c r="D34" s="10" t="inlineStr">
        <is>
          <t>FC (Fin-Comienzo)</t>
        </is>
      </c>
      <c r="E34" s="11" t="inlineStr">
        <is>
          <t>Cancelerias de aluminio, carpinterias, herrerias. Mayor duracion por variedad de elementos</t>
        </is>
      </c>
    </row>
    <row r="35" ht="28" customHeight="1">
      <c r="A35" s="6" t="inlineStr">
        <is>
          <t>A31</t>
        </is>
      </c>
      <c r="B35" s="7" t="inlineStr">
        <is>
          <t>Puertas y Canceles Aulas</t>
        </is>
      </c>
      <c r="C35" s="6" t="inlineStr">
        <is>
          <t>A23, A25</t>
        </is>
      </c>
      <c r="D35" s="6" t="inlineStr">
        <is>
          <t>FC (Fin-Comienzo)</t>
        </is>
      </c>
      <c r="E35" s="7" t="inlineStr">
        <is>
          <t>Puertas y canceles de aluminio. Requiere pisos y muros terminados</t>
        </is>
      </c>
    </row>
    <row r="36" ht="28" customHeight="1">
      <c r="A36" s="10" t="inlineStr">
        <is>
          <t>A32</t>
        </is>
      </c>
      <c r="B36" s="11" t="inlineStr">
        <is>
          <t>Nucleos sanitarios Aulas (muebles sanitarios, mamparas, accesorios)</t>
        </is>
      </c>
      <c r="C36" s="10" t="inlineStr">
        <is>
          <t>A17, A23, A25</t>
        </is>
      </c>
      <c r="D36" s="10" t="inlineStr">
        <is>
          <t>FC (Fin-Comienzo)</t>
        </is>
      </c>
      <c r="E36" s="11" t="inlineStr">
        <is>
          <t>Muebles sanitarios, mamparas, accesorios de bano. Requiere acabados e impermeabilizacion</t>
        </is>
      </c>
    </row>
    <row r="37" ht="28" customHeight="1">
      <c r="A37" s="6" t="inlineStr">
        <is>
          <t>A33</t>
        </is>
      </c>
      <c r="B37" s="7" t="inlineStr">
        <is>
          <t>Nucleos sanitarios Mediateca (muebles sanitarios, mamparas, accesorios)</t>
        </is>
      </c>
      <c r="C37" s="6" t="inlineStr">
        <is>
          <t>A18, A24, A26</t>
        </is>
      </c>
      <c r="D37" s="6" t="inlineStr">
        <is>
          <t>FC (Fin-Comienzo)</t>
        </is>
      </c>
      <c r="E37" s="7" t="inlineStr">
        <is>
          <t>Muebles sanitarios, mamparas, accesorios de bano. Requiere acabados e impermeabilizacion</t>
        </is>
      </c>
    </row>
    <row r="38" ht="28" customHeight="1">
      <c r="A38" s="10" t="inlineStr">
        <is>
          <t>A34</t>
        </is>
      </c>
      <c r="B38" s="11" t="inlineStr">
        <is>
          <t>Instalacion electrica acabados Aulas (contactos, apagadores, luminarias, tableros)</t>
        </is>
      </c>
      <c r="C38" s="10" t="inlineStr">
        <is>
          <t>A21, A23</t>
        </is>
      </c>
      <c r="D38" s="10" t="inlineStr">
        <is>
          <t>FC (Fin-Comienzo)</t>
        </is>
      </c>
      <c r="E38" s="11" t="inlineStr">
        <is>
          <t>Contactos, apagadores, luminarias LED, tableros de distribucion. Requiere cableado y pisos</t>
        </is>
      </c>
    </row>
    <row r="39" ht="28" customHeight="1">
      <c r="A39" s="6" t="inlineStr">
        <is>
          <t>A35</t>
        </is>
      </c>
      <c r="B39" s="7" t="inlineStr">
        <is>
          <t>Instalacion electrica acabados Mediateca (contactos, apagadores, luminarias, tableros)</t>
        </is>
      </c>
      <c r="C39" s="6" t="inlineStr">
        <is>
          <t>A22, A24</t>
        </is>
      </c>
      <c r="D39" s="6" t="inlineStr">
        <is>
          <t>FC (Fin-Comienzo)</t>
        </is>
      </c>
      <c r="E39" s="7" t="inlineStr">
        <is>
          <t>Contactos, apagadores, luminarias LED, tableros de distribucion. Requiere cableado y pisos</t>
        </is>
      </c>
    </row>
    <row r="40" ht="28" customHeight="1">
      <c r="A40" s="10" t="inlineStr">
        <is>
          <t>A36</t>
        </is>
      </c>
      <c r="B40" s="11" t="inlineStr">
        <is>
          <t>Instalaciones especiales Aulas (control acceso, CCTV, voz y datos, cableado Cat6A)</t>
        </is>
      </c>
      <c r="C40" s="10" t="inlineStr">
        <is>
          <t>A21, A23</t>
        </is>
      </c>
      <c r="D40" s="10" t="inlineStr">
        <is>
          <t>FC (Fin-Comienzo)</t>
        </is>
      </c>
      <c r="E40" s="11" t="inlineStr">
        <is>
          <t>Control de acceso, CCTV, voz y datos, gabinete, cableado Cat6A/UTP. Requiere cableado y pisos</t>
        </is>
      </c>
    </row>
    <row r="41" ht="28" customHeight="1">
      <c r="A41" s="8" t="inlineStr">
        <is>
          <t>A37</t>
        </is>
      </c>
      <c r="B41" s="30" t="inlineStr">
        <is>
          <t>Instalaciones especiales Mediateca (control acceso, CCTV, PCI, voz y datos)</t>
        </is>
      </c>
      <c r="C41" s="31" t="inlineStr">
        <is>
          <t>A22, A24</t>
        </is>
      </c>
      <c r="D41" s="31" t="inlineStr">
        <is>
          <t>FC (Fin-Comienzo)</t>
        </is>
      </c>
      <c r="E41" s="30" t="inlineStr">
        <is>
          <t>Control de acceso, CCTV, proteccion contra incendio, voz y datos. Requiere cableado y pisos</t>
        </is>
      </c>
    </row>
    <row r="42" ht="28" customHeight="1">
      <c r="A42" s="10" t="inlineStr">
        <is>
          <t>A38</t>
        </is>
      </c>
      <c r="B42" s="11" t="inlineStr">
        <is>
          <t>AA equipos Aulas (evaporadora, condensadora, puesta en marcha)</t>
        </is>
      </c>
      <c r="C42" s="10" t="inlineStr">
        <is>
          <t>A19, A27</t>
        </is>
      </c>
      <c r="D42" s="10" t="inlineStr">
        <is>
          <t>FC (Fin-Comienzo)</t>
        </is>
      </c>
      <c r="E42" s="11" t="inlineStr">
        <is>
          <t>Equipos evaporadora y condensadora, puesta en marcha. Requiere plafones y acabados de plafon</t>
        </is>
      </c>
    </row>
    <row r="43" ht="28" customHeight="1">
      <c r="A43" s="6" t="inlineStr">
        <is>
          <t>A39</t>
        </is>
      </c>
      <c r="B43" s="7" t="inlineStr">
        <is>
          <t>AA equipos Mediateca (VRF, splits, puesta en marcha)</t>
        </is>
      </c>
      <c r="C43" s="6" t="inlineStr">
        <is>
          <t>A20, A28</t>
        </is>
      </c>
      <c r="D43" s="6" t="inlineStr">
        <is>
          <t>FC (Fin-Comienzo)</t>
        </is>
      </c>
      <c r="E43" s="7" t="inlineStr">
        <is>
          <t>Equipos VRF y splits, puesta en marcha. Mayor duracion por sistema VRF. Requiere plafones y acabados</t>
        </is>
      </c>
    </row>
    <row r="44" ht="28" customHeight="1">
      <c r="A44" s="10" t="inlineStr">
        <is>
          <t>A40</t>
        </is>
      </c>
      <c r="B44" s="11" t="inlineStr">
        <is>
          <t>Deteccion de humos equipos (detectores, estaciones, alarmas) ambas zonas</t>
        </is>
      </c>
      <c r="C44" s="10" t="inlineStr">
        <is>
          <t>A19, A20, A27, A28</t>
        </is>
      </c>
      <c r="D44" s="10" t="inlineStr">
        <is>
          <t>FC (Fin-Comienzo)</t>
        </is>
      </c>
      <c r="E44" s="11" t="inlineStr">
        <is>
          <t>Detectores ionicos/fotoelectricos, estaciones manuales, alarmas audiovisuales. Ambas zonas</t>
        </is>
      </c>
    </row>
    <row r="45" ht="28" customHeight="1">
      <c r="A45" s="8" t="inlineStr">
        <is>
          <t>A41</t>
        </is>
      </c>
      <c r="B45" s="30" t="inlineStr">
        <is>
          <t>Pruebas y puesta en marcha (todas las instalaciones, ambas zonas)</t>
        </is>
      </c>
      <c r="C45" s="31" t="inlineStr">
        <is>
          <t>A29, A30, A31, A32, A33, A34, A35, A36, A37, A38, A39, A40</t>
        </is>
      </c>
      <c r="D45" s="31" t="inlineStr">
        <is>
          <t>FC (Fin-Comienzo)</t>
        </is>
      </c>
      <c r="E45" s="30" t="inlineStr">
        <is>
          <t>Pruebas integrales de todos los sistemas: electrico, hidraulico, AA, deteccion, especiales. Protocolo de entrega</t>
        </is>
      </c>
    </row>
    <row r="46" ht="28" customHeight="1">
      <c r="A46" s="10" t="inlineStr">
        <is>
          <t>A42</t>
        </is>
      </c>
      <c r="B46" s="11" t="inlineStr">
        <is>
          <t>Limpieza gruesa (continua durante toda la obra)</t>
        </is>
      </c>
      <c r="C46" s="10" t="inlineStr">
        <is>
          <t>- (Inicio)</t>
        </is>
      </c>
      <c r="D46" s="10" t="inlineStr">
        <is>
          <t>N/A</t>
        </is>
      </c>
      <c r="E46" s="11" t="inlineStr">
        <is>
          <t>Limpieza permanente durante toda la ejecucion. Retiro continuo de escombro y desechos</t>
        </is>
      </c>
    </row>
    <row r="47" ht="28" customHeight="1">
      <c r="A47" s="8" t="inlineStr">
        <is>
          <t>A43</t>
        </is>
      </c>
      <c r="B47" s="30" t="inlineStr">
        <is>
          <t>Limpieza fina para entrega</t>
        </is>
      </c>
      <c r="C47" s="31" t="inlineStr">
        <is>
          <t>A41</t>
        </is>
      </c>
      <c r="D47" s="31" t="inlineStr">
        <is>
          <t>FC (Fin-Comienzo)</t>
        </is>
      </c>
      <c r="E47" s="30" t="inlineStr">
        <is>
          <t>Limpieza fina exhaustiva previa a la entrega formal de la obra al cliente</t>
        </is>
      </c>
    </row>
    <row r="50">
      <c r="A50" s="12" t="inlineStr">
        <is>
          <t>NOTAS SOBRE LAS RELACIONES DE DEPENDENCIA:</t>
        </is>
      </c>
    </row>
    <row r="51">
      <c r="A51" s="32" t="inlineStr">
        <is>
          <t>1. FC (Fin-Comienzo): La actividad sucesora inicia cuando termina la predecesora. Es la relacion mas comun.</t>
        </is>
      </c>
    </row>
    <row r="52">
      <c r="A52" s="32" t="inlineStr">
        <is>
          <t>2. Las zonas Aulas y Mediateca/Cubiculos se ejecutan en paralelo con equipos y cuadrillas independientes.</t>
        </is>
      </c>
    </row>
    <row r="53">
      <c r="A53" s="32" t="inlineStr">
        <is>
          <t>3. Las instalaciones ocultas (hidro, electrica, AA, deteccion) se ejecutan simultaneamente despues de los muros.</t>
        </is>
      </c>
    </row>
    <row r="54">
      <c r="A54" s="32" t="inlineStr">
        <is>
          <t>4. Los plafones se instalan una vez que TODAS las instalaciones ocultas de la zona estan completas (nodo convergente).</t>
        </is>
      </c>
    </row>
    <row r="55">
      <c r="A55" s="32" t="inlineStr">
        <is>
          <t>5. La prueba y puesta en marcha (A41) es un nodo convergente que requiere que TODAS las actividades previas esten terminadas.</t>
        </is>
      </c>
    </row>
    <row r="56">
      <c r="A56" s="32" t="inlineStr">
        <is>
          <t>6. La limpieza gruesa (A42) es una actividad continua que se ejecuta en paralelo durante toda la obra.</t>
        </is>
      </c>
    </row>
    <row r="57">
      <c r="A57" s="32" t="inlineStr">
        <is>
          <t>7. Se consideran 7 dias/semana por turnos dobles/triples, trabajo en fines de semana y dias festivos.</t>
        </is>
      </c>
    </row>
    <row r="58">
      <c r="A58" s="32" t="inlineStr">
        <is>
          <t>8. Las actividades en ROJO pertenecen a la RUTA CRITICA: cualquier retraso afecta directamente la fecha de entrega.</t>
        </is>
      </c>
    </row>
  </sheetData>
  <mergeCells count="11">
    <mergeCell ref="A53:E53"/>
    <mergeCell ref="A55:E55"/>
    <mergeCell ref="A50:E50"/>
    <mergeCell ref="A57:E57"/>
    <mergeCell ref="A2:E2"/>
    <mergeCell ref="A54:E54"/>
    <mergeCell ref="A52:E52"/>
    <mergeCell ref="A51:E51"/>
    <mergeCell ref="A1:E1"/>
    <mergeCell ref="A58:E58"/>
    <mergeCell ref="A56:E56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2026-03-06T21:34:58Z</dcterms:created>
  <dcterms:modified xmlns:dcterms="http://purl.org/dc/terms/" xmlns:xsi="http://www.w3.org/2001/XMLSchema-instance" xsi:type="dcterms:W3CDTF">2026-03-06T21:39:35Z</dcterms:modified>
</cp:coreProperties>
</file>