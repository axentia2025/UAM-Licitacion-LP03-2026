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rectos de Campo" sheetId="1" state="visible" r:id="rId1"/>
    <sheet xmlns:r="http://schemas.openxmlformats.org/officeDocument/2006/relationships" name="Administracion Central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&quot; MXN&quot;"/>
    <numFmt numFmtId="165" formatCode="0.00&quot;%&quot;"/>
  </numFmts>
  <fonts count="2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i val="1"/>
      <color rgb="00FFFFFF"/>
      <sz val="10"/>
    </font>
    <font>
      <name val="Calibri"/>
      <color rgb="00CCCCCC"/>
      <sz val="9"/>
    </font>
    <font>
      <name val="Calibri"/>
      <b val="1"/>
      <color rgb="00003366"/>
      <sz val="13"/>
    </font>
    <font>
      <name val="Calibri"/>
      <i val="1"/>
      <color rgb="00666666"/>
      <sz val="9"/>
    </font>
    <font>
      <name val="Calibri"/>
      <b val="1"/>
      <color rgb="00FFFFFF"/>
      <sz val="10"/>
    </font>
    <font>
      <name val="Calibri"/>
      <b val="1"/>
      <color rgb="00003366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999999"/>
      <sz val="10"/>
    </font>
    <font>
      <name val="Calibri"/>
      <b val="1"/>
      <color rgb="00003366"/>
      <sz val="11"/>
    </font>
    <font>
      <name val="Calibri"/>
      <b val="1"/>
      <color rgb="00996600"/>
      <sz val="10"/>
    </font>
    <font>
      <name val="Calibri"/>
      <b val="1"/>
      <color rgb="00FFFFFF"/>
      <sz val="12"/>
    </font>
    <font>
      <name val="Calibri"/>
      <i val="1"/>
      <color rgb="00666666"/>
      <sz val="8"/>
    </font>
    <font>
      <name val="Calibri"/>
      <i val="1"/>
      <color rgb="00996600"/>
      <sz val="9"/>
    </font>
    <font>
      <name val="Calibri"/>
      <color rgb="00666666"/>
      <sz val="9"/>
    </font>
    <font>
      <name val="Calibri"/>
      <b val="1"/>
      <color rgb="00FFFFFF"/>
      <sz val="9"/>
    </font>
    <font>
      <name val="Calibri"/>
      <b val="1"/>
      <color rgb="00003366"/>
      <sz val="9"/>
    </font>
    <font>
      <name val="Calibri"/>
      <b val="1"/>
      <color rgb="00FFFFFF"/>
      <sz val="14"/>
    </font>
  </fonts>
  <fills count="7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9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4" fontId="9" fillId="4" borderId="1" applyAlignment="1" pivotButton="0" quotePrefix="0" xfId="0">
      <alignment horizontal="right" vertical="center"/>
    </xf>
    <xf numFmtId="4" fontId="10" fillId="4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4" fontId="9" fillId="5" borderId="1" applyAlignment="1" pivotButton="0" quotePrefix="0" xfId="0">
      <alignment horizontal="right" vertical="center"/>
    </xf>
    <xf numFmtId="4" fontId="10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right" vertical="center"/>
    </xf>
    <xf numFmtId="4" fontId="12" fillId="3" borderId="1" applyAlignment="1" pivotButton="0" quotePrefix="0" xfId="0">
      <alignment horizontal="right" vertical="center"/>
    </xf>
    <xf numFmtId="0" fontId="13" fillId="5" borderId="1" applyAlignment="1" pivotButton="0" quotePrefix="0" xfId="0">
      <alignment horizontal="right" vertical="center"/>
    </xf>
    <xf numFmtId="0" fontId="0" fillId="5" borderId="1" pivotButton="0" quotePrefix="0" xfId="0"/>
    <xf numFmtId="4" fontId="13" fillId="5" borderId="1" applyAlignment="1" pivotButton="0" quotePrefix="0" xfId="0">
      <alignment horizontal="right" vertical="center"/>
    </xf>
    <xf numFmtId="0" fontId="14" fillId="2" borderId="1" applyAlignment="1" pivotButton="0" quotePrefix="0" xfId="0">
      <alignment horizontal="right" vertical="center"/>
    </xf>
    <xf numFmtId="0" fontId="0" fillId="2" borderId="1" pivotButton="0" quotePrefix="0" xfId="0"/>
    <xf numFmtId="4" fontId="14" fillId="2" borderId="1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9" fontId="9" fillId="4" borderId="1" applyAlignment="1" pivotButton="0" quotePrefix="0" xfId="0">
      <alignment horizontal="center" vertical="center" wrapText="1"/>
    </xf>
    <xf numFmtId="165" fontId="9" fillId="4" borderId="1" applyAlignment="1" pivotButton="0" quotePrefix="0" xfId="0">
      <alignment horizontal="center" vertical="center" wrapText="1"/>
    </xf>
    <xf numFmtId="9" fontId="9" fillId="5" borderId="1" applyAlignment="1" pivotButton="0" quotePrefix="0" xfId="0">
      <alignment horizontal="center" vertical="center" wrapText="1"/>
    </xf>
    <xf numFmtId="165" fontId="9" fillId="5" borderId="1" applyAlignment="1" pivotButton="0" quotePrefix="0" xfId="0">
      <alignment horizontal="center" vertical="center" wrapText="1"/>
    </xf>
    <xf numFmtId="165" fontId="14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164" fontId="10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164" fontId="10" fillId="5" borderId="1" applyAlignment="1" pivotButton="0" quotePrefix="0" xfId="0">
      <alignment horizontal="right" vertical="center"/>
    </xf>
    <xf numFmtId="0" fontId="17" fillId="5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right" vertical="center"/>
    </xf>
    <xf numFmtId="164" fontId="2" fillId="2" borderId="1" applyAlignment="1" pivotButton="0" quotePrefix="0" xfId="0">
      <alignment horizontal="right" vertical="center"/>
    </xf>
    <xf numFmtId="165" fontId="2" fillId="2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center" vertical="center" wrapText="1"/>
    </xf>
    <xf numFmtId="164" fontId="12" fillId="3" borderId="1" applyAlignment="1" pivotButton="0" quotePrefix="0" xfId="0">
      <alignment horizontal="right" vertical="center"/>
    </xf>
    <xf numFmtId="165" fontId="12" fillId="3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right" vertical="center"/>
    </xf>
    <xf numFmtId="164" fontId="20" fillId="2" borderId="1" applyAlignment="1" pivotButton="0" quotePrefix="0" xfId="0">
      <alignment horizontal="right" vertical="center"/>
    </xf>
    <xf numFmtId="0" fontId="12" fillId="3" borderId="0" applyAlignment="1" pivotButton="0" quotePrefix="0" xfId="0">
      <alignment horizontal="center" vertical="center" wrapText="1"/>
    </xf>
    <xf numFmtId="165" fontId="10" fillId="5" borderId="1" applyAlignment="1" pivotButton="0" quotePrefix="0" xfId="0">
      <alignment horizontal="center" vertical="center" wrapText="1"/>
    </xf>
    <xf numFmtId="165" fontId="10" fillId="4" borderId="1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0" customWidth="1" min="3" max="3"/>
    <col width="10" customWidth="1" min="4" max="4"/>
    <col width="16" customWidth="1" min="5" max="5"/>
    <col width="16" customWidth="1" min="6" max="6"/>
    <col width="8" customWidth="1" min="7" max="7"/>
    <col width="18" customWidth="1" min="8" max="8"/>
  </cols>
  <sheetData>
    <row r="1" ht="30" customHeight="1">
      <c r="A1" s="1" t="inlineStr">
        <is>
          <t>ANALISIS DE COSTOS INDIRECTOS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Licitacion Publica Nacional No. UAM.JA.RG.LP.03.2026</t>
        </is>
      </c>
      <c r="B2" s="2" t="n"/>
      <c r="C2" s="2" t="n"/>
      <c r="D2" s="2" t="n"/>
      <c r="E2" s="2" t="n"/>
      <c r="F2" s="2" t="n"/>
      <c r="G2" s="2" t="n"/>
      <c r="H2" s="2" t="n"/>
    </row>
    <row r="3" ht="20" customHeight="1">
      <c r="A3" s="4" t="inlineStr">
        <is>
          <t>Habilitacion del 1er Nivel del Edificio "F" - UAM Unidad Lerma</t>
        </is>
      </c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5" t="inlineStr">
        <is>
          <t>Superficie: ~1,830 m2  |  782 Conceptos  |  Plazo: 154 dias naturales (13/mayo - 14/octubre 2026)</t>
        </is>
      </c>
      <c r="B4" s="2" t="n"/>
      <c r="C4" s="2" t="n"/>
      <c r="D4" s="2" t="n"/>
      <c r="E4" s="2" t="n"/>
      <c r="F4" s="2" t="n"/>
      <c r="G4" s="2" t="n"/>
      <c r="H4" s="2" t="n"/>
    </row>
    <row r="5" ht="28" customHeight="1">
      <c r="A5" s="6" t="inlineStr">
        <is>
          <t>INDIRECTOS DE CAMPO</t>
        </is>
      </c>
      <c r="B5" s="7" t="n"/>
      <c r="C5" s="7" t="n"/>
      <c r="D5" s="7" t="n"/>
      <c r="E5" s="7" t="n"/>
      <c r="F5" s="7" t="n"/>
      <c r="G5" s="7" t="n"/>
      <c r="H5" s="7" t="n"/>
    </row>
    <row r="6" ht="18" customHeight="1">
      <c r="A6" s="8" t="inlineStr">
        <is>
          <t>Gastos de campo requeridos conforme a Anexos Tecnicos 8 y 9 de las Bases de Licitacion</t>
        </is>
      </c>
    </row>
    <row r="8" ht="28" customHeight="1">
      <c r="A8" s="9" t="inlineStr">
        <is>
          <t>No.</t>
        </is>
      </c>
      <c r="B8" s="9" t="inlineStr">
        <is>
          <t>Concepto</t>
        </is>
      </c>
      <c r="C8" s="9" t="inlineStr">
        <is>
          <t>Unidad</t>
        </is>
      </c>
      <c r="D8" s="9" t="inlineStr">
        <is>
          <t>Cantidad</t>
        </is>
      </c>
      <c r="E8" s="9" t="inlineStr">
        <is>
          <t>Costo Unitario</t>
        </is>
      </c>
      <c r="F8" s="9" t="inlineStr">
        <is>
          <t>Importe Mensual</t>
        </is>
      </c>
      <c r="G8" s="9" t="inlineStr">
        <is>
          <t>Meses</t>
        </is>
      </c>
      <c r="H8" s="9" t="inlineStr">
        <is>
          <t>Importe Total</t>
        </is>
      </c>
    </row>
    <row r="9" ht="22" customHeight="1">
      <c r="A9" s="10" t="inlineStr">
        <is>
          <t>A. PERSONAL DE OBRA</t>
        </is>
      </c>
      <c r="B9" s="11" t="n"/>
      <c r="C9" s="11" t="n"/>
      <c r="D9" s="11" t="n"/>
      <c r="E9" s="11" t="n"/>
      <c r="F9" s="11" t="n"/>
      <c r="G9" s="11" t="n"/>
      <c r="H9" s="11" t="n"/>
    </row>
    <row r="10" ht="20" customHeight="1">
      <c r="A10" s="12" t="n">
        <v>1</v>
      </c>
      <c r="B10" s="13" t="inlineStr">
        <is>
          <t>Superintendente de obra</t>
        </is>
      </c>
      <c r="C10" s="12" t="inlineStr">
        <is>
          <t>Mes</t>
        </is>
      </c>
      <c r="D10" s="12" t="n">
        <v>1</v>
      </c>
      <c r="E10" s="14" t="n">
        <v>45000</v>
      </c>
      <c r="F10" s="14">
        <f>D10*E10</f>
        <v/>
      </c>
      <c r="G10" s="12" t="n">
        <v>5</v>
      </c>
      <c r="H10" s="15">
        <f>F10*G10</f>
        <v/>
      </c>
    </row>
    <row r="11" ht="20" customHeight="1">
      <c r="A11" s="16" t="n">
        <v>2</v>
      </c>
      <c r="B11" s="17" t="inlineStr">
        <is>
          <t>Residente de obra</t>
        </is>
      </c>
      <c r="C11" s="16" t="inlineStr">
        <is>
          <t>Mes</t>
        </is>
      </c>
      <c r="D11" s="16" t="n">
        <v>1</v>
      </c>
      <c r="E11" s="18" t="n">
        <v>35000</v>
      </c>
      <c r="F11" s="18">
        <f>D11*E11</f>
        <v/>
      </c>
      <c r="G11" s="16" t="n">
        <v>5</v>
      </c>
      <c r="H11" s="19">
        <f>F11*G11</f>
        <v/>
      </c>
    </row>
    <row r="12" ht="20" customHeight="1">
      <c r="A12" s="12" t="n">
        <v>3</v>
      </c>
      <c r="B12" s="13" t="inlineStr">
        <is>
          <t>Residente de instalaciones (electrica, hidrosanitaria, HVAC)</t>
        </is>
      </c>
      <c r="C12" s="12" t="inlineStr">
        <is>
          <t>Mes</t>
        </is>
      </c>
      <c r="D12" s="12" t="n">
        <v>1</v>
      </c>
      <c r="E12" s="14" t="n">
        <v>30000</v>
      </c>
      <c r="F12" s="14">
        <f>D12*E12</f>
        <v/>
      </c>
      <c r="G12" s="12" t="n">
        <v>5</v>
      </c>
      <c r="H12" s="15">
        <f>F12*G12</f>
        <v/>
      </c>
    </row>
    <row r="13" ht="20" customHeight="1">
      <c r="A13" s="16" t="n">
        <v>4</v>
      </c>
      <c r="B13" s="17" t="inlineStr">
        <is>
          <t>Jefe de seguridad e higiene</t>
        </is>
      </c>
      <c r="C13" s="16" t="inlineStr">
        <is>
          <t>Mes</t>
        </is>
      </c>
      <c r="D13" s="16" t="n">
        <v>1</v>
      </c>
      <c r="E13" s="18" t="n">
        <v>25000</v>
      </c>
      <c r="F13" s="18">
        <f>D13*E13</f>
        <v/>
      </c>
      <c r="G13" s="16" t="n">
        <v>5</v>
      </c>
      <c r="H13" s="19">
        <f>F13*G13</f>
        <v/>
      </c>
    </row>
    <row r="14" ht="20" customHeight="1">
      <c r="A14" s="12" t="n">
        <v>5</v>
      </c>
      <c r="B14" s="13" t="inlineStr">
        <is>
          <t>Almacenista</t>
        </is>
      </c>
      <c r="C14" s="12" t="inlineStr">
        <is>
          <t>Mes</t>
        </is>
      </c>
      <c r="D14" s="12" t="n">
        <v>1</v>
      </c>
      <c r="E14" s="14" t="n">
        <v>15000</v>
      </c>
      <c r="F14" s="14">
        <f>D14*E14</f>
        <v/>
      </c>
      <c r="G14" s="12" t="n">
        <v>5</v>
      </c>
      <c r="H14" s="15">
        <f>F14*G14</f>
        <v/>
      </c>
    </row>
    <row r="15" ht="20" customHeight="1">
      <c r="A15" s="16" t="n">
        <v>6</v>
      </c>
      <c r="B15" s="17" t="inlineStr">
        <is>
          <t>Servicio de vigilancia 24/7 (turnos rotativos)</t>
        </is>
      </c>
      <c r="C15" s="16" t="inlineStr">
        <is>
          <t>Mes</t>
        </is>
      </c>
      <c r="D15" s="16" t="n">
        <v>1</v>
      </c>
      <c r="E15" s="18" t="n">
        <v>18000</v>
      </c>
      <c r="F15" s="18">
        <f>D15*E15</f>
        <v/>
      </c>
      <c r="G15" s="16" t="n">
        <v>5</v>
      </c>
      <c r="H15" s="19">
        <f>F15*G15</f>
        <v/>
      </c>
    </row>
    <row r="16" ht="20" customHeight="1">
      <c r="A16" s="12" t="n">
        <v>7</v>
      </c>
      <c r="B16" s="13" t="inlineStr">
        <is>
          <t>Auxiliar administrativo de obra</t>
        </is>
      </c>
      <c r="C16" s="12" t="inlineStr">
        <is>
          <t>Mes</t>
        </is>
      </c>
      <c r="D16" s="12" t="n">
        <v>1</v>
      </c>
      <c r="E16" s="14" t="n">
        <v>15000</v>
      </c>
      <c r="F16" s="14">
        <f>D16*E16</f>
        <v/>
      </c>
      <c r="G16" s="12" t="n">
        <v>5</v>
      </c>
      <c r="H16" s="15">
        <f>F16*G16</f>
        <v/>
      </c>
    </row>
    <row r="17" ht="20" customHeight="1">
      <c r="A17" s="16" t="n">
        <v>8</v>
      </c>
      <c r="B17" s="17" t="inlineStr">
        <is>
          <t>Topografo (tiempo parcial)</t>
        </is>
      </c>
      <c r="C17" s="16" t="inlineStr">
        <is>
          <t>Mes</t>
        </is>
      </c>
      <c r="D17" s="16" t="n">
        <v>1</v>
      </c>
      <c r="E17" s="18" t="n">
        <v>12000</v>
      </c>
      <c r="F17" s="18">
        <f>D17*E17</f>
        <v/>
      </c>
      <c r="G17" s="16" t="n">
        <v>5</v>
      </c>
      <c r="H17" s="19">
        <f>F17*G17</f>
        <v/>
      </c>
    </row>
    <row r="18" ht="22" customHeight="1">
      <c r="A18" s="10" t="inlineStr">
        <is>
          <t>B. INSTALACIONES PROVISIONALES (Conforme Anexos 8 y 9)</t>
        </is>
      </c>
      <c r="B18" s="11" t="n"/>
      <c r="C18" s="11" t="n"/>
      <c r="D18" s="11" t="n"/>
      <c r="E18" s="11" t="n"/>
      <c r="F18" s="11" t="n"/>
      <c r="G18" s="11" t="n"/>
      <c r="H18" s="11" t="n"/>
    </row>
    <row r="19" ht="20" customHeight="1">
      <c r="A19" s="12" t="n">
        <v>9</v>
      </c>
      <c r="B19" s="13" t="inlineStr">
        <is>
          <t>Renta caseta/camper oficina contratista con mobiliario</t>
        </is>
      </c>
      <c r="C19" s="12" t="inlineStr">
        <is>
          <t>Mes</t>
        </is>
      </c>
      <c r="D19" s="12" t="n">
        <v>1</v>
      </c>
      <c r="E19" s="14" t="n">
        <v>8000</v>
      </c>
      <c r="F19" s="14">
        <f>D19*E19</f>
        <v/>
      </c>
      <c r="G19" s="12" t="n">
        <v>5</v>
      </c>
      <c r="H19" s="15">
        <f>F19*G19</f>
        <v/>
      </c>
    </row>
    <row r="20" ht="20" customHeight="1">
      <c r="A20" s="16" t="n">
        <v>10</v>
      </c>
      <c r="B20" s="17" t="inlineStr">
        <is>
          <t>Renta caseta supervision UAM con sala de juntas 20 personas, mesa y sillas plegables</t>
        </is>
      </c>
      <c r="C20" s="16" t="inlineStr">
        <is>
          <t>Mes</t>
        </is>
      </c>
      <c r="D20" s="16" t="n">
        <v>1</v>
      </c>
      <c r="E20" s="18" t="n">
        <v>12000</v>
      </c>
      <c r="F20" s="18">
        <f>D20*E20</f>
        <v/>
      </c>
      <c r="G20" s="16" t="n">
        <v>5</v>
      </c>
      <c r="H20" s="19">
        <f>F20*G20</f>
        <v/>
      </c>
    </row>
    <row r="21" ht="20" customHeight="1">
      <c r="A21" s="12" t="n">
        <v>11</v>
      </c>
      <c r="B21" s="13" t="inlineStr">
        <is>
          <t>Renta caseta almacen con lamina Pintro blanco</t>
        </is>
      </c>
      <c r="C21" s="12" t="inlineStr">
        <is>
          <t>Mes</t>
        </is>
      </c>
      <c r="D21" s="12" t="n">
        <v>1</v>
      </c>
      <c r="E21" s="14" t="n">
        <v>6000</v>
      </c>
      <c r="F21" s="14">
        <f>D21*E21</f>
        <v/>
      </c>
      <c r="G21" s="12" t="n">
        <v>5</v>
      </c>
      <c r="H21" s="15">
        <f>F21*G21</f>
        <v/>
      </c>
    </row>
    <row r="22" ht="20" customHeight="1">
      <c r="A22" s="16" t="n">
        <v>12</v>
      </c>
      <c r="B22" s="17" t="inlineStr">
        <is>
          <t>Renta comedor techado con mesas triplay y bancas tablon</t>
        </is>
      </c>
      <c r="C22" s="16" t="inlineStr">
        <is>
          <t>Mes</t>
        </is>
      </c>
      <c r="D22" s="16" t="n">
        <v>1</v>
      </c>
      <c r="E22" s="18" t="n">
        <v>5000</v>
      </c>
      <c r="F22" s="18">
        <f>D22*E22</f>
        <v/>
      </c>
      <c r="G22" s="16" t="n">
        <v>5</v>
      </c>
      <c r="H22" s="19">
        <f>F22*G22</f>
        <v/>
      </c>
    </row>
    <row r="23" ht="20" customHeight="1">
      <c r="A23" s="12" t="n">
        <v>13</v>
      </c>
      <c r="B23" s="13" t="inlineStr">
        <is>
          <t>Sanitarios portatiles tipo Sanirent separados por genero</t>
        </is>
      </c>
      <c r="C23" s="12" t="inlineStr">
        <is>
          <t>Mes</t>
        </is>
      </c>
      <c r="D23" s="12" t="n">
        <v>2</v>
      </c>
      <c r="E23" s="14" t="n">
        <v>3500</v>
      </c>
      <c r="F23" s="14">
        <f>D23*E23</f>
        <v/>
      </c>
      <c r="G23" s="12" t="n">
        <v>5</v>
      </c>
      <c r="H23" s="15">
        <f>F23*G23</f>
        <v/>
      </c>
    </row>
    <row r="24" ht="20" customHeight="1">
      <c r="A24" s="16" t="n">
        <v>14</v>
      </c>
      <c r="B24" s="17" t="inlineStr">
        <is>
          <t>Extintores (1 por cada 60 m2, dotacion completa)</t>
        </is>
      </c>
      <c r="C24" s="16" t="inlineStr">
        <is>
          <t>Global</t>
        </is>
      </c>
      <c r="D24" s="16" t="n">
        <v>1</v>
      </c>
      <c r="E24" s="18" t="n">
        <v>15000</v>
      </c>
      <c r="F24" s="20" t="inlineStr">
        <is>
          <t>N/A</t>
        </is>
      </c>
      <c r="G24" s="20" t="inlineStr">
        <is>
          <t>N/A</t>
        </is>
      </c>
      <c r="H24" s="19">
        <f>D24*E24</f>
        <v/>
      </c>
    </row>
    <row r="25" ht="20" customHeight="1">
      <c r="A25" s="12" t="n">
        <v>15</v>
      </c>
      <c r="B25" s="13" t="inlineStr">
        <is>
          <t>Senalizacion de obra (seguridad, accesos, restricciones)</t>
        </is>
      </c>
      <c r="C25" s="12" t="inlineStr">
        <is>
          <t>Global</t>
        </is>
      </c>
      <c r="D25" s="12" t="n">
        <v>1</v>
      </c>
      <c r="E25" s="14" t="n">
        <v>8000</v>
      </c>
      <c r="F25" s="21" t="inlineStr">
        <is>
          <t>N/A</t>
        </is>
      </c>
      <c r="G25" s="21" t="inlineStr">
        <is>
          <t>N/A</t>
        </is>
      </c>
      <c r="H25" s="15">
        <f>D25*E25</f>
        <v/>
      </c>
    </row>
    <row r="26" ht="20" customHeight="1">
      <c r="A26" s="16" t="n">
        <v>16</v>
      </c>
      <c r="B26" s="17" t="inlineStr">
        <is>
          <t>Depositos de basura clasificada (organica, inorganica, reciclaje)</t>
        </is>
      </c>
      <c r="C26" s="16" t="inlineStr">
        <is>
          <t>Global</t>
        </is>
      </c>
      <c r="D26" s="16" t="n">
        <v>1</v>
      </c>
      <c r="E26" s="18" t="n">
        <v>5000</v>
      </c>
      <c r="F26" s="20" t="inlineStr">
        <is>
          <t>N/A</t>
        </is>
      </c>
      <c r="G26" s="20" t="inlineStr">
        <is>
          <t>N/A</t>
        </is>
      </c>
      <c r="H26" s="19">
        <f>D26*E26</f>
        <v/>
      </c>
    </row>
    <row r="27" ht="22" customHeight="1">
      <c r="A27" s="10" t="inlineStr">
        <is>
          <t>C. EQUIPO DE COMPUTO Y COMUNICACIONES</t>
        </is>
      </c>
      <c r="B27" s="11" t="n"/>
      <c r="C27" s="11" t="n"/>
      <c r="D27" s="11" t="n"/>
      <c r="E27" s="11" t="n"/>
      <c r="F27" s="11" t="n"/>
      <c r="G27" s="11" t="n"/>
      <c r="H27" s="11" t="n"/>
    </row>
    <row r="28" ht="20" customHeight="1">
      <c r="A28" s="12" t="n">
        <v>17</v>
      </c>
      <c r="B28" s="13" t="inlineStr">
        <is>
          <t>Equipo de computo de escritorio (2 unidades)</t>
        </is>
      </c>
      <c r="C28" s="12" t="inlineStr">
        <is>
          <t>Global</t>
        </is>
      </c>
      <c r="D28" s="12" t="n">
        <v>2</v>
      </c>
      <c r="E28" s="14" t="n">
        <v>15000</v>
      </c>
      <c r="F28" s="21" t="inlineStr">
        <is>
          <t>N/A</t>
        </is>
      </c>
      <c r="G28" s="21" t="inlineStr">
        <is>
          <t>N/A</t>
        </is>
      </c>
      <c r="H28" s="15">
        <f>D28*E28</f>
        <v/>
      </c>
    </row>
    <row r="29" ht="20" customHeight="1">
      <c r="A29" s="16" t="n">
        <v>18</v>
      </c>
      <c r="B29" s="17" t="inlineStr">
        <is>
          <t>Laptop (2 unidades)</t>
        </is>
      </c>
      <c r="C29" s="16" t="inlineStr">
        <is>
          <t>Global</t>
        </is>
      </c>
      <c r="D29" s="16" t="n">
        <v>2</v>
      </c>
      <c r="E29" s="18" t="n">
        <v>20000</v>
      </c>
      <c r="F29" s="20" t="inlineStr">
        <is>
          <t>N/A</t>
        </is>
      </c>
      <c r="G29" s="20" t="inlineStr">
        <is>
          <t>N/A</t>
        </is>
      </c>
      <c r="H29" s="19">
        <f>D29*E29</f>
        <v/>
      </c>
    </row>
    <row r="30" ht="20" customHeight="1">
      <c r="A30" s="12" t="n">
        <v>19</v>
      </c>
      <c r="B30" s="13" t="inlineStr">
        <is>
          <t>Licencias de software: MS Project, AutoCAD, Opus y Neodata</t>
        </is>
      </c>
      <c r="C30" s="12" t="inlineStr">
        <is>
          <t>Mes</t>
        </is>
      </c>
      <c r="D30" s="12" t="n">
        <v>1</v>
      </c>
      <c r="E30" s="14" t="n">
        <v>8000</v>
      </c>
      <c r="F30" s="14">
        <f>D30*E30</f>
        <v/>
      </c>
      <c r="G30" s="12" t="n">
        <v>5</v>
      </c>
      <c r="H30" s="15">
        <f>F30*G30</f>
        <v/>
      </c>
    </row>
    <row r="31" ht="20" customHeight="1">
      <c r="A31" s="16" t="n">
        <v>20</v>
      </c>
      <c r="B31" s="17" t="inlineStr">
        <is>
          <t>Internet inalambrico - Servicio 1 (oficina contratista, min 6 dispositivos)</t>
        </is>
      </c>
      <c r="C31" s="16" t="inlineStr">
        <is>
          <t>Mes</t>
        </is>
      </c>
      <c r="D31" s="16" t="n">
        <v>1</v>
      </c>
      <c r="E31" s="18" t="n">
        <v>1800</v>
      </c>
      <c r="F31" s="18">
        <f>D31*E31</f>
        <v/>
      </c>
      <c r="G31" s="16" t="n">
        <v>5</v>
      </c>
      <c r="H31" s="19">
        <f>F31*G31</f>
        <v/>
      </c>
    </row>
    <row r="32" ht="20" customHeight="1">
      <c r="A32" s="12" t="n">
        <v>21</v>
      </c>
      <c r="B32" s="13" t="inlineStr">
        <is>
          <t>Internet inalambrico - Servicio 2 (independiente para supervision UAM)</t>
        </is>
      </c>
      <c r="C32" s="12" t="inlineStr">
        <is>
          <t>Mes</t>
        </is>
      </c>
      <c r="D32" s="12" t="n">
        <v>1</v>
      </c>
      <c r="E32" s="14" t="n">
        <v>1800</v>
      </c>
      <c r="F32" s="14">
        <f>D32*E32</f>
        <v/>
      </c>
      <c r="G32" s="12" t="n">
        <v>5</v>
      </c>
      <c r="H32" s="15">
        <f>F32*G32</f>
        <v/>
      </c>
    </row>
    <row r="33" ht="20" customHeight="1">
      <c r="A33" s="16" t="n">
        <v>22</v>
      </c>
      <c r="B33" s="17" t="inlineStr">
        <is>
          <t>Impresora doble carta (renta con consumibles)</t>
        </is>
      </c>
      <c r="C33" s="16" t="inlineStr">
        <is>
          <t>Mes</t>
        </is>
      </c>
      <c r="D33" s="16" t="n">
        <v>1</v>
      </c>
      <c r="E33" s="18" t="n">
        <v>2500</v>
      </c>
      <c r="F33" s="18">
        <f>D33*E33</f>
        <v/>
      </c>
      <c r="G33" s="16" t="n">
        <v>5</v>
      </c>
      <c r="H33" s="19">
        <f>F33*G33</f>
        <v/>
      </c>
    </row>
    <row r="34" ht="20" customHeight="1">
      <c r="A34" s="12" t="n">
        <v>23</v>
      </c>
      <c r="B34" s="13" t="inlineStr">
        <is>
          <t>Multifuncional carta/oficio (renta con consumibles)</t>
        </is>
      </c>
      <c r="C34" s="12" t="inlineStr">
        <is>
          <t>Mes</t>
        </is>
      </c>
      <c r="D34" s="12" t="n">
        <v>1</v>
      </c>
      <c r="E34" s="14" t="n">
        <v>2000</v>
      </c>
      <c r="F34" s="14">
        <f>D34*E34</f>
        <v/>
      </c>
      <c r="G34" s="12" t="n">
        <v>5</v>
      </c>
      <c r="H34" s="15">
        <f>F34*G34</f>
        <v/>
      </c>
    </row>
    <row r="35" ht="22" customHeight="1">
      <c r="A35" s="10" t="inlineStr">
        <is>
          <t>D. SERVICIOS E INSUMOS</t>
        </is>
      </c>
      <c r="B35" s="11" t="n"/>
      <c r="C35" s="11" t="n"/>
      <c r="D35" s="11" t="n"/>
      <c r="E35" s="11" t="n"/>
      <c r="F35" s="11" t="n"/>
      <c r="G35" s="11" t="n"/>
      <c r="H35" s="11" t="n"/>
    </row>
    <row r="36" ht="20" customHeight="1">
      <c r="A36" s="16" t="n">
        <v>24</v>
      </c>
      <c r="B36" s="17" t="inlineStr">
        <is>
          <t>Alimentacion electrica temporal desde subestacion existente</t>
        </is>
      </c>
      <c r="C36" s="16" t="inlineStr">
        <is>
          <t>Mes</t>
        </is>
      </c>
      <c r="D36" s="16" t="n">
        <v>1</v>
      </c>
      <c r="E36" s="18" t="n">
        <v>5000</v>
      </c>
      <c r="F36" s="18">
        <f>D36*E36</f>
        <v/>
      </c>
      <c r="G36" s="16" t="n">
        <v>5</v>
      </c>
      <c r="H36" s="19">
        <f>F36*G36</f>
        <v/>
      </c>
    </row>
    <row r="37" ht="20" customHeight="1">
      <c r="A37" s="12" t="n">
        <v>25</v>
      </c>
      <c r="B37" s="13" t="inlineStr">
        <is>
          <t>Agua para obra (pipa y servicio temporal)</t>
        </is>
      </c>
      <c r="C37" s="12" t="inlineStr">
        <is>
          <t>Mes</t>
        </is>
      </c>
      <c r="D37" s="12" t="n">
        <v>1</v>
      </c>
      <c r="E37" s="14" t="n">
        <v>3000</v>
      </c>
      <c r="F37" s="14">
        <f>D37*E37</f>
        <v/>
      </c>
      <c r="G37" s="12" t="n">
        <v>5</v>
      </c>
      <c r="H37" s="15">
        <f>F37*G37</f>
        <v/>
      </c>
    </row>
    <row r="38" ht="20" customHeight="1">
      <c r="A38" s="16" t="n">
        <v>26</v>
      </c>
      <c r="B38" s="17" t="inlineStr">
        <is>
          <t>Papeleria y consumibles de oficina</t>
        </is>
      </c>
      <c r="C38" s="16" t="inlineStr">
        <is>
          <t>Mes</t>
        </is>
      </c>
      <c r="D38" s="16" t="n">
        <v>1</v>
      </c>
      <c r="E38" s="18" t="n">
        <v>3000</v>
      </c>
      <c r="F38" s="18">
        <f>D38*E38</f>
        <v/>
      </c>
      <c r="G38" s="16" t="n">
        <v>5</v>
      </c>
      <c r="H38" s="19">
        <f>F38*G38</f>
        <v/>
      </c>
    </row>
    <row r="39" ht="20" customHeight="1">
      <c r="A39" s="12" t="n">
        <v>27</v>
      </c>
      <c r="B39" s="13" t="inlineStr">
        <is>
          <t>Fletes y acarreos varios</t>
        </is>
      </c>
      <c r="C39" s="12" t="inlineStr">
        <is>
          <t>Mes</t>
        </is>
      </c>
      <c r="D39" s="12" t="n">
        <v>1</v>
      </c>
      <c r="E39" s="14" t="n">
        <v>10000</v>
      </c>
      <c r="F39" s="14">
        <f>D39*E39</f>
        <v/>
      </c>
      <c r="G39" s="12" t="n">
        <v>5</v>
      </c>
      <c r="H39" s="15">
        <f>F39*G39</f>
        <v/>
      </c>
    </row>
    <row r="40" ht="20" customHeight="1">
      <c r="A40" s="16" t="n">
        <v>28</v>
      </c>
      <c r="B40" s="17" t="inlineStr">
        <is>
          <t>Servicio de limpieza continua de obra</t>
        </is>
      </c>
      <c r="C40" s="16" t="inlineStr">
        <is>
          <t>Mes</t>
        </is>
      </c>
      <c r="D40" s="16" t="n">
        <v>1</v>
      </c>
      <c r="E40" s="18" t="n">
        <v>8000</v>
      </c>
      <c r="F40" s="18">
        <f>D40*E40</f>
        <v/>
      </c>
      <c r="G40" s="16" t="n">
        <v>5</v>
      </c>
      <c r="H40" s="19">
        <f>F40*G40</f>
        <v/>
      </c>
    </row>
    <row r="41" ht="20" customHeight="1">
      <c r="A41" s="12" t="n">
        <v>29</v>
      </c>
      <c r="B41" s="13" t="inlineStr">
        <is>
          <t>Renta de vehiculo de obra (camioneta)</t>
        </is>
      </c>
      <c r="C41" s="12" t="inlineStr">
        <is>
          <t>Mes</t>
        </is>
      </c>
      <c r="D41" s="12" t="n">
        <v>1</v>
      </c>
      <c r="E41" s="14" t="n">
        <v>12000</v>
      </c>
      <c r="F41" s="14">
        <f>D41*E41</f>
        <v/>
      </c>
      <c r="G41" s="12" t="n">
        <v>5</v>
      </c>
      <c r="H41" s="15">
        <f>F41*G41</f>
        <v/>
      </c>
    </row>
    <row r="42" ht="22" customHeight="1">
      <c r="A42" s="10" t="inlineStr">
        <is>
          <t>E. SEGURIDAD, PROTECCION Y VARIOS</t>
        </is>
      </c>
      <c r="B42" s="11" t="n"/>
      <c r="C42" s="11" t="n"/>
      <c r="D42" s="11" t="n"/>
      <c r="E42" s="11" t="n"/>
      <c r="F42" s="11" t="n"/>
      <c r="G42" s="11" t="n"/>
      <c r="H42" s="11" t="n"/>
    </row>
    <row r="43" ht="20" customHeight="1">
      <c r="A43" s="16" t="n">
        <v>30</v>
      </c>
      <c r="B43" s="17" t="inlineStr">
        <is>
          <t>Equipo de proteccion personal EPP (cascos, chalecos, guantes, lentes, arnes)</t>
        </is>
      </c>
      <c r="C43" s="16" t="inlineStr">
        <is>
          <t>Global</t>
        </is>
      </c>
      <c r="D43" s="16" t="n">
        <v>1</v>
      </c>
      <c r="E43" s="18" t="n">
        <v>25000</v>
      </c>
      <c r="F43" s="20" t="inlineStr">
        <is>
          <t>N/A</t>
        </is>
      </c>
      <c r="G43" s="20" t="inlineStr">
        <is>
          <t>N/A</t>
        </is>
      </c>
      <c r="H43" s="19">
        <f>D43*E43</f>
        <v/>
      </c>
    </row>
    <row r="44" ht="20" customHeight="1">
      <c r="A44" s="12" t="n">
        <v>31</v>
      </c>
      <c r="B44" s="13" t="inlineStr">
        <is>
          <t>Botiquin y equipo de emergencia</t>
        </is>
      </c>
      <c r="C44" s="12" t="inlineStr">
        <is>
          <t>Global</t>
        </is>
      </c>
      <c r="D44" s="12" t="n">
        <v>1</v>
      </c>
      <c r="E44" s="14" t="n">
        <v>5000</v>
      </c>
      <c r="F44" s="21" t="inlineStr">
        <is>
          <t>N/A</t>
        </is>
      </c>
      <c r="G44" s="21" t="inlineStr">
        <is>
          <t>N/A</t>
        </is>
      </c>
      <c r="H44" s="15">
        <f>D44*E44</f>
        <v/>
      </c>
    </row>
    <row r="45" ht="20" customHeight="1">
      <c r="A45" s="16" t="n">
        <v>32</v>
      </c>
      <c r="B45" s="17" t="inlineStr">
        <is>
          <t>Herramienta menor (diversa)</t>
        </is>
      </c>
      <c r="C45" s="16" t="inlineStr">
        <is>
          <t>Global</t>
        </is>
      </c>
      <c r="D45" s="16" t="n">
        <v>1</v>
      </c>
      <c r="E45" s="18" t="n">
        <v>15000</v>
      </c>
      <c r="F45" s="20" t="inlineStr">
        <is>
          <t>N/A</t>
        </is>
      </c>
      <c r="G45" s="20" t="inlineStr">
        <is>
          <t>N/A</t>
        </is>
      </c>
      <c r="H45" s="19">
        <f>D45*E45</f>
        <v/>
      </c>
    </row>
    <row r="46" ht="20" customHeight="1">
      <c r="A46" s="12" t="n">
        <v>33</v>
      </c>
      <c r="B46" s="13" t="inlineStr">
        <is>
          <t>Seguros y fianzas (referencia: 3.5% del costo directo)</t>
        </is>
      </c>
      <c r="C46" s="12" t="inlineStr">
        <is>
          <t>Global</t>
        </is>
      </c>
      <c r="D46" s="12" t="n">
        <v>1</v>
      </c>
      <c r="E46" s="14" t="n">
        <v>525000</v>
      </c>
      <c r="F46" s="21" t="inlineStr">
        <is>
          <t>N/A</t>
        </is>
      </c>
      <c r="G46" s="21" t="inlineStr">
        <is>
          <t>N/A</t>
        </is>
      </c>
      <c r="H46" s="15">
        <f>D46*E46</f>
        <v/>
      </c>
    </row>
    <row r="48">
      <c r="A48" s="22" t="inlineStr">
        <is>
          <t>SUBTOTAL INDIRECTOS DE CAMPO (sin seguros y fianzas)</t>
        </is>
      </c>
      <c r="B48" s="11" t="n"/>
      <c r="C48" s="11" t="n"/>
      <c r="D48" s="11" t="n"/>
      <c r="E48" s="11" t="n"/>
      <c r="F48" s="11" t="n"/>
      <c r="G48" s="11" t="n"/>
      <c r="H48" s="23">
        <f>SUM(H9:H46)-H46</f>
        <v/>
      </c>
    </row>
    <row r="49">
      <c r="A49" s="24" t="inlineStr">
        <is>
          <t>SEGUROS Y FIANZAS (Referencia: 3.5% del Costo Directo)</t>
        </is>
      </c>
      <c r="B49" s="25" t="n"/>
      <c r="C49" s="25" t="n"/>
      <c r="D49" s="25" t="n"/>
      <c r="E49" s="25" t="n"/>
      <c r="F49" s="25" t="n"/>
      <c r="G49" s="25" t="n"/>
      <c r="H49" s="26">
        <f>H46</f>
        <v/>
      </c>
    </row>
    <row r="50" ht="28" customHeight="1">
      <c r="A50" s="27" t="inlineStr">
        <is>
          <t>TOTAL INDIRECTOS DE CAMPO</t>
        </is>
      </c>
      <c r="B50" s="28" t="n"/>
      <c r="C50" s="28" t="n"/>
      <c r="D50" s="28" t="n"/>
      <c r="E50" s="28" t="n"/>
      <c r="F50" s="28" t="n"/>
      <c r="G50" s="28" t="n"/>
      <c r="H50" s="29">
        <f>H48+H49</f>
        <v/>
      </c>
    </row>
    <row r="52">
      <c r="A52" s="30" t="inlineStr">
        <is>
          <t>Nota: Los costos unitarios son estimados para Mexico 2026. Seguros y fianzas se calculan como referencia al 3.5% del Costo Directo. Plazo de obra: 5 meses (13/mayo - 14/octubre 2026).</t>
        </is>
      </c>
    </row>
  </sheetData>
  <mergeCells count="15">
    <mergeCell ref="A1:H1"/>
    <mergeCell ref="A4:H4"/>
    <mergeCell ref="A9:H9"/>
    <mergeCell ref="A3:H3"/>
    <mergeCell ref="A18:H18"/>
    <mergeCell ref="A35:H35"/>
    <mergeCell ref="A2:H2"/>
    <mergeCell ref="A50:G50"/>
    <mergeCell ref="A52:H52"/>
    <mergeCell ref="A42:H42"/>
    <mergeCell ref="A48:G48"/>
    <mergeCell ref="A5:H5"/>
    <mergeCell ref="A27:H27"/>
    <mergeCell ref="A49:G49"/>
    <mergeCell ref="A6:H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2"/>
  <sheetViews>
    <sheetView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14" customWidth="1" min="3" max="3"/>
    <col width="16" customWidth="1" min="4" max="4"/>
    <col width="14" customWidth="1" min="5" max="5"/>
    <col width="16" customWidth="1" min="6" max="6"/>
    <col width="16" customWidth="1" min="7" max="7"/>
  </cols>
  <sheetData>
    <row r="1" ht="30" customHeight="1">
      <c r="A1" s="1" t="inlineStr">
        <is>
          <t>ANALISIS DE COSTOS INDIRECTOS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Licitacion Publica Nacional No. UAM.JA.RG.LP.03.2026</t>
        </is>
      </c>
      <c r="B2" s="2" t="n"/>
      <c r="C2" s="2" t="n"/>
      <c r="D2" s="2" t="n"/>
      <c r="E2" s="2" t="n"/>
      <c r="F2" s="2" t="n"/>
      <c r="G2" s="2" t="n"/>
    </row>
    <row r="3" ht="20" customHeight="1">
      <c r="A3" s="4" t="inlineStr">
        <is>
          <t>Habilitacion del 1er Nivel del Edificio "F" - UAM Unidad Lerma</t>
        </is>
      </c>
      <c r="B3" s="2" t="n"/>
      <c r="C3" s="2" t="n"/>
      <c r="D3" s="2" t="n"/>
      <c r="E3" s="2" t="n"/>
      <c r="F3" s="2" t="n"/>
      <c r="G3" s="2" t="n"/>
    </row>
    <row r="4" ht="18" customHeight="1">
      <c r="A4" s="5" t="inlineStr">
        <is>
          <t>Superficie: ~1,830 m2  |  782 Conceptos  |  Plazo: 154 dias naturales (13/mayo - 14/octubre 2026)</t>
        </is>
      </c>
      <c r="B4" s="2" t="n"/>
      <c r="C4" s="2" t="n"/>
      <c r="D4" s="2" t="n"/>
      <c r="E4" s="2" t="n"/>
      <c r="F4" s="2" t="n"/>
      <c r="G4" s="2" t="n"/>
    </row>
    <row r="5" ht="28" customHeight="1">
      <c r="A5" s="6" t="inlineStr">
        <is>
          <t>ADMINISTRACION CENTRAL</t>
        </is>
      </c>
      <c r="B5" s="7" t="n"/>
      <c r="C5" s="7" t="n"/>
      <c r="D5" s="7" t="n"/>
      <c r="E5" s="7" t="n"/>
      <c r="F5" s="7" t="n"/>
      <c r="G5" s="7" t="n"/>
    </row>
    <row r="6" ht="18" customHeight="1">
      <c r="A6" s="8" t="inlineStr">
        <is>
          <t>Porcentaje de gastos de oficina central aplicable a la obra (Estimado 5-7% del Costo Directo)</t>
        </is>
      </c>
    </row>
    <row r="8">
      <c r="A8" s="31" t="inlineStr">
        <is>
          <t>COSTO DIRECTO DE REFERENCIA:</t>
        </is>
      </c>
      <c r="E8" s="32" t="n">
        <v>15000000</v>
      </c>
    </row>
    <row r="10" ht="28" customHeight="1">
      <c r="A10" s="9" t="inlineStr">
        <is>
          <t>No.</t>
        </is>
      </c>
      <c r="B10" s="9" t="inlineStr">
        <is>
          <t>Concepto</t>
        </is>
      </c>
      <c r="C10" s="9" t="inlineStr">
        <is>
          <t>% Dedicacion</t>
        </is>
      </c>
      <c r="D10" s="9" t="inlineStr">
        <is>
          <t>Costo Mensual</t>
        </is>
      </c>
      <c r="E10" s="9" t="inlineStr">
        <is>
          <t>Meses</t>
        </is>
      </c>
      <c r="F10" s="9" t="inlineStr">
        <is>
          <t>Importe</t>
        </is>
      </c>
      <c r="G10" s="9" t="inlineStr">
        <is>
          <t>% s/CD</t>
        </is>
      </c>
    </row>
    <row r="11">
      <c r="A11" s="10" t="inlineStr">
        <is>
          <t>A. PERSONAL DIRECTIVO Y ADMINISTRATIVO</t>
        </is>
      </c>
      <c r="B11" s="11" t="n"/>
      <c r="C11" s="11" t="n"/>
      <c r="D11" s="11" t="n"/>
      <c r="E11" s="11" t="n"/>
      <c r="F11" s="11" t="n"/>
      <c r="G11" s="11" t="n"/>
    </row>
    <row r="12" ht="20" customHeight="1">
      <c r="A12" s="12" t="n">
        <v>1</v>
      </c>
      <c r="B12" s="13" t="inlineStr">
        <is>
          <t>Director General (proporcion de dedicacion a la obra)</t>
        </is>
      </c>
      <c r="C12" s="33" t="n">
        <v>0.1</v>
      </c>
      <c r="D12" s="14" t="n">
        <v>120000</v>
      </c>
      <c r="E12" s="12" t="n">
        <v>5</v>
      </c>
      <c r="F12" s="15">
        <f>C12*D12*E12</f>
        <v/>
      </c>
      <c r="G12" s="34">
        <f>IF(E8&gt;0,F12/E8*100,0)</f>
        <v/>
      </c>
    </row>
    <row r="13" ht="20" customHeight="1">
      <c r="A13" s="16" t="n">
        <v>2</v>
      </c>
      <c r="B13" s="17" t="inlineStr">
        <is>
          <t>Gerente de Proyectos / Director de Obra (proporcion)</t>
        </is>
      </c>
      <c r="C13" s="35" t="n">
        <v>0.25</v>
      </c>
      <c r="D13" s="18" t="n">
        <v>80000</v>
      </c>
      <c r="E13" s="16" t="n">
        <v>5</v>
      </c>
      <c r="F13" s="19">
        <f>C13*D13*E13</f>
        <v/>
      </c>
      <c r="G13" s="36">
        <f>IF(E8&gt;0,F13/E8*100,0)</f>
        <v/>
      </c>
    </row>
    <row r="14" ht="20" customHeight="1">
      <c r="A14" s="12" t="n">
        <v>3</v>
      </c>
      <c r="B14" s="13" t="inlineStr">
        <is>
          <t>Contador / Responsable fiscal (proporcion)</t>
        </is>
      </c>
      <c r="C14" s="33" t="n">
        <v>0.15</v>
      </c>
      <c r="D14" s="14" t="n">
        <v>45000</v>
      </c>
      <c r="E14" s="12" t="n">
        <v>5</v>
      </c>
      <c r="F14" s="15">
        <f>C14*D14*E14</f>
        <v/>
      </c>
      <c r="G14" s="34">
        <f>IF(E8&gt;0,F14/E8*100,0)</f>
        <v/>
      </c>
    </row>
    <row r="15" ht="20" customHeight="1">
      <c r="A15" s="16" t="n">
        <v>4</v>
      </c>
      <c r="B15" s="17" t="inlineStr">
        <is>
          <t>Abogado / Asesor juridico (proporcion)</t>
        </is>
      </c>
      <c r="C15" s="35" t="n">
        <v>0.1</v>
      </c>
      <c r="D15" s="18" t="n">
        <v>50000</v>
      </c>
      <c r="E15" s="16" t="n">
        <v>5</v>
      </c>
      <c r="F15" s="19">
        <f>C15*D15*E15</f>
        <v/>
      </c>
      <c r="G15" s="36">
        <f>IF(E8&gt;0,F15/E8*100,0)</f>
        <v/>
      </c>
    </row>
    <row r="16" ht="20" customHeight="1">
      <c r="A16" s="12" t="n">
        <v>5</v>
      </c>
      <c r="B16" s="13" t="inlineStr">
        <is>
          <t>Asistente de direccion (proporcion)</t>
        </is>
      </c>
      <c r="C16" s="33" t="n">
        <v>0.15</v>
      </c>
      <c r="D16" s="14" t="n">
        <v>20000</v>
      </c>
      <c r="E16" s="12" t="n">
        <v>5</v>
      </c>
      <c r="F16" s="15">
        <f>C16*D16*E16</f>
        <v/>
      </c>
      <c r="G16" s="34">
        <f>IF(E8&gt;0,F16/E8*100,0)</f>
        <v/>
      </c>
    </row>
    <row r="17">
      <c r="A17" s="10" t="inlineStr">
        <is>
          <t>B. GASTOS DE OFICINA CENTRAL</t>
        </is>
      </c>
      <c r="B17" s="11" t="n"/>
      <c r="C17" s="11" t="n"/>
      <c r="D17" s="11" t="n"/>
      <c r="E17" s="11" t="n"/>
      <c r="F17" s="11" t="n"/>
      <c r="G17" s="11" t="n"/>
    </row>
    <row r="18" ht="20" customHeight="1">
      <c r="A18" s="16" t="n">
        <v>6</v>
      </c>
      <c r="B18" s="17" t="inlineStr">
        <is>
          <t>Renta de oficina central (proporcion)</t>
        </is>
      </c>
      <c r="C18" s="35" t="n">
        <v>0.15</v>
      </c>
      <c r="D18" s="18" t="n">
        <v>25000</v>
      </c>
      <c r="E18" s="16" t="n">
        <v>5</v>
      </c>
      <c r="F18" s="19">
        <f>C18*D18*E18</f>
        <v/>
      </c>
      <c r="G18" s="36">
        <f>IF(E8&gt;0,F18/E8*100,0)</f>
        <v/>
      </c>
    </row>
    <row r="19" ht="20" customHeight="1">
      <c r="A19" s="12" t="n">
        <v>7</v>
      </c>
      <c r="B19" s="13" t="inlineStr">
        <is>
          <t>Servicios: telefono, internet, luz oficina (proporcion)</t>
        </is>
      </c>
      <c r="C19" s="33" t="n">
        <v>0.15</v>
      </c>
      <c r="D19" s="14" t="n">
        <v>8000</v>
      </c>
      <c r="E19" s="12" t="n">
        <v>5</v>
      </c>
      <c r="F19" s="15">
        <f>C19*D19*E19</f>
        <v/>
      </c>
      <c r="G19" s="34">
        <f>IF(E8&gt;0,F19/E8*100,0)</f>
        <v/>
      </c>
    </row>
    <row r="20" ht="20" customHeight="1">
      <c r="A20" s="16" t="n">
        <v>8</v>
      </c>
      <c r="B20" s="17" t="inlineStr">
        <is>
          <t>Depreciacion de equipo de oficina y mobiliario</t>
        </is>
      </c>
      <c r="C20" s="35" t="n">
        <v>1</v>
      </c>
      <c r="D20" s="18" t="n">
        <v>3000</v>
      </c>
      <c r="E20" s="16" t="n">
        <v>5</v>
      </c>
      <c r="F20" s="19">
        <f>C20*D20*E20</f>
        <v/>
      </c>
      <c r="G20" s="36">
        <f>IF(E8&gt;0,F20/E8*100,0)</f>
        <v/>
      </c>
    </row>
    <row r="21" ht="20" customHeight="1">
      <c r="A21" s="12" t="n">
        <v>9</v>
      </c>
      <c r="B21" s="13" t="inlineStr">
        <is>
          <t>Mantenimiento y limpieza oficina (proporcion)</t>
        </is>
      </c>
      <c r="C21" s="33" t="n">
        <v>0.15</v>
      </c>
      <c r="D21" s="14" t="n">
        <v>5000</v>
      </c>
      <c r="E21" s="12" t="n">
        <v>5</v>
      </c>
      <c r="F21" s="15">
        <f>C21*D21*E21</f>
        <v/>
      </c>
      <c r="G21" s="34">
        <f>IF(E8&gt;0,F21/E8*100,0)</f>
        <v/>
      </c>
    </row>
    <row r="22" ht="20" customHeight="1">
      <c r="A22" s="16" t="n">
        <v>10</v>
      </c>
      <c r="B22" s="17" t="inlineStr">
        <is>
          <t>Software administrativo y contable (proporcion)</t>
        </is>
      </c>
      <c r="C22" s="35" t="n">
        <v>0.2</v>
      </c>
      <c r="D22" s="18" t="n">
        <v>4000</v>
      </c>
      <c r="E22" s="16" t="n">
        <v>5</v>
      </c>
      <c r="F22" s="19">
        <f>C22*D22*E22</f>
        <v/>
      </c>
      <c r="G22" s="36">
        <f>IF(E8&gt;0,F22/E8*100,0)</f>
        <v/>
      </c>
    </row>
    <row r="23">
      <c r="A23" s="10" t="inlineStr">
        <is>
          <t>C. GASTOS GENERALES</t>
        </is>
      </c>
      <c r="B23" s="11" t="n"/>
      <c r="C23" s="11" t="n"/>
      <c r="D23" s="11" t="n"/>
      <c r="E23" s="11" t="n"/>
      <c r="F23" s="11" t="n"/>
      <c r="G23" s="11" t="n"/>
    </row>
    <row r="24" ht="20" customHeight="1">
      <c r="A24" s="12" t="n">
        <v>11</v>
      </c>
      <c r="B24" s="13" t="inlineStr">
        <is>
          <t>Gastos legales y notariales</t>
        </is>
      </c>
      <c r="C24" s="33" t="n">
        <v>1</v>
      </c>
      <c r="D24" s="14" t="n">
        <v>5000</v>
      </c>
      <c r="E24" s="12" t="n">
        <v>5</v>
      </c>
      <c r="F24" s="15">
        <f>C24*D24*E24</f>
        <v/>
      </c>
      <c r="G24" s="34">
        <f>IF(E8&gt;0,F24/E8*100,0)</f>
        <v/>
      </c>
    </row>
    <row r="25" ht="20" customHeight="1">
      <c r="A25" s="16" t="n">
        <v>12</v>
      </c>
      <c r="B25" s="17" t="inlineStr">
        <is>
          <t>Impuestos y derechos (licencias, permisos)</t>
        </is>
      </c>
      <c r="C25" s="35" t="n">
        <v>1</v>
      </c>
      <c r="D25" s="18" t="n">
        <v>4000</v>
      </c>
      <c r="E25" s="16" t="n">
        <v>5</v>
      </c>
      <c r="F25" s="19">
        <f>C25*D25*E25</f>
        <v/>
      </c>
      <c r="G25" s="36">
        <f>IF(E8&gt;0,F25/E8*100,0)</f>
        <v/>
      </c>
    </row>
    <row r="26" ht="20" customHeight="1">
      <c r="A26" s="12" t="n">
        <v>13</v>
      </c>
      <c r="B26" s="13" t="inlineStr">
        <is>
          <t>Capacitacion del personal</t>
        </is>
      </c>
      <c r="C26" s="33" t="n">
        <v>1</v>
      </c>
      <c r="D26" s="14" t="n">
        <v>3000</v>
      </c>
      <c r="E26" s="12" t="n">
        <v>5</v>
      </c>
      <c r="F26" s="15">
        <f>C26*D26*E26</f>
        <v/>
      </c>
      <c r="G26" s="34">
        <f>IF(E8&gt;0,F26/E8*100,0)</f>
        <v/>
      </c>
    </row>
    <row r="27" ht="20" customHeight="1">
      <c r="A27" s="16" t="n">
        <v>14</v>
      </c>
      <c r="B27" s="17" t="inlineStr">
        <is>
          <t>Cuotas y colegiaturas profesionales</t>
        </is>
      </c>
      <c r="C27" s="35" t="n">
        <v>1</v>
      </c>
      <c r="D27" s="18" t="n">
        <v>1500</v>
      </c>
      <c r="E27" s="16" t="n">
        <v>5</v>
      </c>
      <c r="F27" s="19">
        <f>C27*D27*E27</f>
        <v/>
      </c>
      <c r="G27" s="36">
        <f>IF(E8&gt;0,F27/E8*100,0)</f>
        <v/>
      </c>
    </row>
    <row r="28" ht="20" customHeight="1">
      <c r="A28" s="12" t="n">
        <v>15</v>
      </c>
      <c r="B28" s="13" t="inlineStr">
        <is>
          <t>Gastos de representacion y licitaciones</t>
        </is>
      </c>
      <c r="C28" s="33" t="n">
        <v>1</v>
      </c>
      <c r="D28" s="14" t="n">
        <v>5000</v>
      </c>
      <c r="E28" s="12" t="n">
        <v>5</v>
      </c>
      <c r="F28" s="15">
        <f>C28*D28*E28</f>
        <v/>
      </c>
      <c r="G28" s="34">
        <f>IF(E8&gt;0,F28/E8*100,0)</f>
        <v/>
      </c>
    </row>
    <row r="30" ht="28" customHeight="1">
      <c r="A30" s="27" t="inlineStr">
        <is>
          <t>TOTAL ADMINISTRACION CENTRAL</t>
        </is>
      </c>
      <c r="B30" s="28" t="n"/>
      <c r="C30" s="28" t="n"/>
      <c r="D30" s="28" t="n"/>
      <c r="E30" s="28" t="n"/>
      <c r="F30" s="29">
        <f>SUM(F12:F28)</f>
        <v/>
      </c>
      <c r="G30" s="37">
        <f>IF(E8&gt;0,F30/E8*100,0)</f>
        <v/>
      </c>
    </row>
    <row r="32">
      <c r="A32" s="30" t="inlineStr">
        <is>
          <t>Nota: Los porcentajes de dedicacion son estimados con base en la magnitud y plazo de la obra. El costo directo de referencia es editable en la celda amarilla.</t>
        </is>
      </c>
    </row>
  </sheetData>
  <mergeCells count="13">
    <mergeCell ref="A30:E30"/>
    <mergeCell ref="A32:G32"/>
    <mergeCell ref="A1:G1"/>
    <mergeCell ref="A8:D8"/>
    <mergeCell ref="A17:G17"/>
    <mergeCell ref="A3:G3"/>
    <mergeCell ref="A6:G6"/>
    <mergeCell ref="E8:G8"/>
    <mergeCell ref="A4:G4"/>
    <mergeCell ref="A2:G2"/>
    <mergeCell ref="A11:G11"/>
    <mergeCell ref="A5:G5"/>
    <mergeCell ref="A23:G23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8"/>
  <sheetViews>
    <sheetView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18" customWidth="1" min="3" max="3"/>
    <col width="14" customWidth="1" min="4" max="4"/>
    <col width="18" customWidth="1" min="5" max="5"/>
    <col width="16" customWidth="1" min="6" max="6"/>
  </cols>
  <sheetData>
    <row r="1" ht="30" customHeight="1">
      <c r="A1" s="1" t="inlineStr">
        <is>
          <t>ANALISIS DE COSTOS INDIRECTOS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Licitacion Publica Nacional No. UAM.JA.RG.LP.03.2026</t>
        </is>
      </c>
      <c r="B2" s="2" t="n"/>
      <c r="C2" s="2" t="n"/>
      <c r="D2" s="2" t="n"/>
      <c r="E2" s="2" t="n"/>
      <c r="F2" s="2" t="n"/>
    </row>
    <row r="3" ht="20" customHeight="1">
      <c r="A3" s="4" t="inlineStr">
        <is>
          <t>Habilitacion del 1er Nivel del Edificio "F" - UAM Unidad Lerma</t>
        </is>
      </c>
      <c r="B3" s="2" t="n"/>
      <c r="C3" s="2" t="n"/>
      <c r="D3" s="2" t="n"/>
      <c r="E3" s="2" t="n"/>
      <c r="F3" s="2" t="n"/>
    </row>
    <row r="4" ht="18" customHeight="1">
      <c r="A4" s="5" t="inlineStr">
        <is>
          <t>Superficie: ~1,830 m2  |  782 Conceptos  |  Plazo: 154 dias naturales (13/mayo - 14/octubre 2026)</t>
        </is>
      </c>
      <c r="B4" s="2" t="n"/>
      <c r="C4" s="2" t="n"/>
      <c r="D4" s="2" t="n"/>
      <c r="E4" s="2" t="n"/>
      <c r="F4" s="2" t="n"/>
    </row>
    <row r="5" ht="28" customHeight="1">
      <c r="A5" s="6" t="inlineStr">
        <is>
          <t>RESUMEN DE COSTOS INDIRECTOS Y SOBRECOSTO</t>
        </is>
      </c>
      <c r="B5" s="7" t="n"/>
      <c r="C5" s="7" t="n"/>
      <c r="D5" s="7" t="n"/>
      <c r="E5" s="7" t="n"/>
      <c r="F5" s="7" t="n"/>
    </row>
    <row r="6" ht="18" customHeight="1">
      <c r="A6" s="8" t="inlineStr">
        <is>
          <t>Integracion del porcentaje total de sobrecosto aplicable al Costo Directo</t>
        </is>
      </c>
    </row>
    <row r="8" ht="28" customHeight="1">
      <c r="A8" s="9" t="inlineStr">
        <is>
          <t>No.</t>
        </is>
      </c>
      <c r="B8" s="9" t="inlineStr">
        <is>
          <t>Concepto</t>
        </is>
      </c>
      <c r="C8" s="9" t="inlineStr">
        <is>
          <t>Importe</t>
        </is>
      </c>
      <c r="D8" s="9" t="inlineStr">
        <is>
          <t>% s/CD</t>
        </is>
      </c>
      <c r="E8" s="9" t="inlineStr">
        <is>
          <t>Formula / Referencia</t>
        </is>
      </c>
      <c r="F8" s="9" t="inlineStr">
        <is>
          <t>Observaciones</t>
        </is>
      </c>
    </row>
    <row r="9" ht="24" customHeight="1">
      <c r="A9" s="38" t="n">
        <v>1</v>
      </c>
      <c r="B9" s="39" t="inlineStr">
        <is>
          <t>COSTO DIRECTO (CD)</t>
        </is>
      </c>
      <c r="C9" s="32" t="n">
        <v>15000000</v>
      </c>
      <c r="D9" s="38" t="inlineStr">
        <is>
          <t>100.00%</t>
        </is>
      </c>
      <c r="E9" s="40" t="inlineStr">
        <is>
          <t>Capturar monto real</t>
        </is>
      </c>
      <c r="F9" s="41" t="inlineStr">
        <is>
          <t>Celda editable</t>
        </is>
      </c>
    </row>
    <row r="10" ht="22" customHeight="1">
      <c r="A10" s="12" t="n">
        <v>2</v>
      </c>
      <c r="B10" s="42" t="inlineStr">
        <is>
          <t>Indirectos de Campo</t>
        </is>
      </c>
      <c r="C10" s="43">
        <f>'Indirectos de Campo'!H50</f>
        <v/>
      </c>
      <c r="D10" s="34">
        <f>IF(C9&gt;0,C10/C9*100,0)</f>
        <v/>
      </c>
      <c r="E10" s="44" t="inlineStr">
        <is>
          <t>Vinculado a Hoja 1</t>
        </is>
      </c>
      <c r="F10" s="44" t="inlineStr">
        <is>
          <t>Incluye seguros</t>
        </is>
      </c>
    </row>
    <row r="11" ht="22" customHeight="1">
      <c r="A11" s="16" t="n">
        <v>3</v>
      </c>
      <c r="B11" s="45" t="inlineStr">
        <is>
          <t>Administracion Central</t>
        </is>
      </c>
      <c r="C11" s="46">
        <f>'Administracion Central'!F30</f>
        <v/>
      </c>
      <c r="D11" s="36">
        <f>IF(C9&gt;0,C11/C9*100,0)</f>
        <v/>
      </c>
      <c r="E11" s="47" t="inlineStr">
        <is>
          <t>Vinculado a Hoja 2</t>
        </is>
      </c>
      <c r="F11" s="47" t="inlineStr">
        <is>
          <t>5-7% del CD</t>
        </is>
      </c>
    </row>
    <row r="12" ht="26" customHeight="1">
      <c r="A12" s="48" t="inlineStr">
        <is>
          <t>TOTAL INDIRECTOS (Campo + Central)</t>
        </is>
      </c>
      <c r="B12" s="28" t="n"/>
      <c r="C12" s="49">
        <f>C10+C11</f>
        <v/>
      </c>
      <c r="D12" s="50">
        <f>IF(C9&gt;0,C12/C9*100,0)</f>
        <v/>
      </c>
      <c r="E12" s="51" t="inlineStr">
        <is>
          <t>% Total Indirectos</t>
        </is>
      </c>
      <c r="F12" s="28" t="inlineStr"/>
    </row>
    <row r="13" ht="10" customHeight="1"/>
    <row r="14" ht="22" customHeight="1">
      <c r="A14" s="12" t="n">
        <v>4</v>
      </c>
      <c r="B14" s="42" t="inlineStr">
        <is>
          <t>Financiamiento</t>
        </is>
      </c>
      <c r="C14" s="43">
        <f>C9*0.015</f>
        <v/>
      </c>
      <c r="D14" s="12" t="inlineStr">
        <is>
          <t>1.50%</t>
        </is>
      </c>
      <c r="E14" s="44" t="inlineStr">
        <is>
          <t>1.5% del CD</t>
        </is>
      </c>
      <c r="F14" s="44" t="inlineStr">
        <is>
          <t>Tasa estimada</t>
        </is>
      </c>
    </row>
    <row r="15" ht="22" customHeight="1">
      <c r="A15" s="16" t="n">
        <v>5</v>
      </c>
      <c r="B15" s="45" t="inlineStr">
        <is>
          <t>Utilidad</t>
        </is>
      </c>
      <c r="C15" s="46">
        <f>C9*0.08</f>
        <v/>
      </c>
      <c r="D15" s="16" t="inlineStr">
        <is>
          <t>8.00%</t>
        </is>
      </c>
      <c r="E15" s="47" t="inlineStr">
        <is>
          <t>8% del CD</t>
        </is>
      </c>
      <c r="F15" s="47" t="inlineStr">
        <is>
          <t>Margen neto</t>
        </is>
      </c>
    </row>
    <row r="17" ht="26" customHeight="1">
      <c r="A17" s="22" t="inlineStr">
        <is>
          <t>TOTAL SOBRECOSTO</t>
        </is>
      </c>
      <c r="B17" s="11" t="n"/>
      <c r="C17" s="52">
        <f>C12+C14+C15</f>
        <v/>
      </c>
      <c r="D17" s="53">
        <f>IF(C9&gt;0,C17/C9*100,0)</f>
        <v/>
      </c>
      <c r="E17" s="54" t="inlineStr">
        <is>
          <t>% Total Sobrecosto</t>
        </is>
      </c>
      <c r="F17" s="11" t="inlineStr"/>
    </row>
    <row r="19" ht="32" customHeight="1">
      <c r="A19" s="55" t="inlineStr">
        <is>
          <t>COSTO TOTAL DE LA OBRA</t>
        </is>
      </c>
      <c r="B19" s="28" t="n"/>
      <c r="C19" s="56">
        <f>C9+C17</f>
        <v/>
      </c>
      <c r="D19" s="37">
        <f>IF(C9&gt;0,C19/C9*100,0)</f>
        <v/>
      </c>
      <c r="E19" s="51" t="inlineStr">
        <is>
          <t>CD + Sobrecosto</t>
        </is>
      </c>
      <c r="F19" s="28" t="inlineStr"/>
    </row>
    <row r="21">
      <c r="A21" s="57" t="inlineStr">
        <is>
          <t>DESGLOSE DE PORCENTAJES DE SOBRECOSTO</t>
        </is>
      </c>
      <c r="B21" s="7" t="n"/>
      <c r="C21" s="7" t="n"/>
      <c r="D21" s="7" t="n"/>
      <c r="E21" s="7" t="n"/>
      <c r="F21" s="7" t="n"/>
    </row>
    <row r="22">
      <c r="B22" s="17" t="inlineStr">
        <is>
          <t>Indirectos de Campo</t>
        </is>
      </c>
      <c r="C22" s="58">
        <f>D10</f>
        <v/>
      </c>
    </row>
    <row r="23">
      <c r="B23" s="13" t="inlineStr">
        <is>
          <t>Administracion Central</t>
        </is>
      </c>
      <c r="C23" s="59">
        <f>D11</f>
        <v/>
      </c>
    </row>
    <row r="24">
      <c r="B24" s="17" t="inlineStr">
        <is>
          <t>Financiamiento</t>
        </is>
      </c>
      <c r="C24" s="58">
        <f>D14</f>
        <v/>
      </c>
    </row>
    <row r="25">
      <c r="B25" s="13" t="inlineStr">
        <is>
          <t>Utilidad</t>
        </is>
      </c>
      <c r="C25" s="59">
        <f>D15</f>
        <v/>
      </c>
    </row>
    <row r="26">
      <c r="B26" s="48" t="inlineStr">
        <is>
          <t>TOTAL SOBRECOSTO</t>
        </is>
      </c>
      <c r="C26" s="50">
        <f>D17</f>
        <v/>
      </c>
    </row>
    <row r="28">
      <c r="A28" s="60" t="inlineStr">
        <is>
          <t>NOTAS IMPORTANTES:</t>
        </is>
      </c>
    </row>
    <row r="29">
      <c r="A29" s="30" t="inlineStr">
        <is>
          <t>1. El Costo Directo (celda amarilla) debe actualizarse con el monto real del presupuesto de obra.</t>
        </is>
      </c>
    </row>
    <row r="30">
      <c r="A30" s="30" t="inlineStr">
        <is>
          <t>2. Los seguros y fianzas se estiman al 3.5% del CD. Verificar con aseguradora las primas reales.</t>
        </is>
      </c>
    </row>
    <row r="31">
      <c r="A31" s="30" t="inlineStr">
        <is>
          <t>3. Financiamiento calculado con tasa estimada. Ajustar segun condiciones de pago de la convocante.</t>
        </is>
      </c>
    </row>
    <row r="32">
      <c r="A32" s="30" t="inlineStr">
        <is>
          <t>4. Todos los montos son en Pesos Mexicanos (MXN) sin IVA.</t>
        </is>
      </c>
    </row>
    <row r="33">
      <c r="A33" s="30" t="inlineStr">
        <is>
          <t>5. Conforme a la Ley de Obras Publicas y su Reglamento, Arts. 182-211.</t>
        </is>
      </c>
    </row>
    <row r="36">
      <c r="A36" s="61" t="inlineStr">
        <is>
          <t>________________________________</t>
        </is>
      </c>
      <c r="D36" s="61" t="inlineStr">
        <is>
          <t>________________________________</t>
        </is>
      </c>
    </row>
    <row r="37">
      <c r="A37" s="62" t="inlineStr">
        <is>
          <t>Elaboro</t>
        </is>
      </c>
      <c r="D37" s="62" t="inlineStr">
        <is>
          <t>Reviso / Vo.Bo.</t>
        </is>
      </c>
    </row>
    <row r="38">
      <c r="A38" s="8" t="inlineStr">
        <is>
          <t>Despacho JP Moreno</t>
        </is>
      </c>
    </row>
  </sheetData>
  <mergeCells count="21">
    <mergeCell ref="A37:C37"/>
    <mergeCell ref="A3:F3"/>
    <mergeCell ref="A21:F21"/>
    <mergeCell ref="A2:F2"/>
    <mergeCell ref="A33:F33"/>
    <mergeCell ref="D37:F37"/>
    <mergeCell ref="A5:F5"/>
    <mergeCell ref="A32:F32"/>
    <mergeCell ref="A4:F4"/>
    <mergeCell ref="A29:F29"/>
    <mergeCell ref="A38:C38"/>
    <mergeCell ref="A12:B12"/>
    <mergeCell ref="A28:F28"/>
    <mergeCell ref="A31:F31"/>
    <mergeCell ref="A17:B17"/>
    <mergeCell ref="A30:F30"/>
    <mergeCell ref="A36:C36"/>
    <mergeCell ref="A19:B19"/>
    <mergeCell ref="A1:F1"/>
    <mergeCell ref="D36:F36"/>
    <mergeCell ref="A6:F6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2026-03-08T16:47:38Z</dcterms:created>
  <dcterms:modified xmlns:dcterms="http://purl.org/dc/terms/" xmlns:xsi="http://www.w3.org/2001/XMLSchema-instance" xsi:type="dcterms:W3CDTF">2026-03-08T16:47:38Z</dcterms:modified>
</cp:coreProperties>
</file>